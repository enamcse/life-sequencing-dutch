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  <sheet name="pop" sheetId="2" r:id="rId6"/>
    <sheet name="liss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<sst xmlns="http://schemas.openxmlformats.org/spreadsheetml/2006/main" uniqueCount="8">
  <si>
    <t>out_spiral</t>
  </si>
  <si>
    <t>bckt_no</t>
  </si>
  <si>
    <t xml:space="preserve"> pop_cnt</t>
  </si>
  <si>
    <t xml:space="preserve"> LISS_cnt</t>
  </si>
  <si>
    <t xml:space="preserve"> pop_percent</t>
  </si>
  <si>
    <t xml:space="preserve"> LISS_percent</t>
  </si>
  <si>
    <t>Table 1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</si>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</sst>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8.35156" style="1" customWidth="1"/>
    <col min="3" max="3" width="9" style="1" customWidth="1"/>
    <col min="4" max="4" width="11.8516" style="1" customWidth="1"/>
    <col min="5" max="5" width="12.5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s="4">
        <v>74</v>
      </c>
      <c r="B3" s="5" cm="1">
        <f t="array" ref="B3">_xlfn.IFERROR(VLOOKUP($A3,'pop'!$A$2:$C$89,2,FALSE),0)</f>
        <v>1213636</v>
      </c>
      <c r="C3" s="6" cm="1">
        <f t="array" ref="C3">_xlfn.IFERROR(VLOOKUP($A3,'liss'!$A$2:$C$56,2,FALSE),0)</f>
        <v>1164</v>
      </c>
      <c r="D3" s="6" cm="1">
        <f t="array" ref="D3">_xlfn.IFERROR(VLOOKUP($A3,'pop'!$A$2:$C$89,3,FALSE),0)</f>
        <v>19.27</v>
      </c>
      <c r="E3" s="6" cm="1">
        <f t="array" ref="E3">_xlfn.IFERROR(VLOOKUP($A3,'liss'!$A$2:$C$56,3,FALSE),0)</f>
        <v>10.17</v>
      </c>
    </row>
    <row r="4" ht="20.05" customHeight="1">
      <c r="A4" s="7">
        <v>91</v>
      </c>
      <c r="B4" s="8" cm="1">
        <f t="array" ref="B4">_xlfn.IFERROR(VLOOKUP($A4,'pop'!$A$2:$C$89,2,FALSE),0)</f>
        <v>661452</v>
      </c>
      <c r="C4" s="9" cm="1">
        <f t="array" ref="C4">_xlfn.IFERROR(VLOOKUP($A4,'liss'!$A$2:$C$56,2,FALSE),0)</f>
        <v>674</v>
      </c>
      <c r="D4" s="9" cm="1">
        <f t="array" ref="D4">_xlfn.IFERROR(VLOOKUP($A4,'pop'!$A$2:$C$89,3,FALSE),0)</f>
        <v>10.5</v>
      </c>
      <c r="E4" s="9" cm="1">
        <f t="array" ref="E4">_xlfn.IFERROR(VLOOKUP($A4,'liss'!$A$2:$C$56,3,FALSE),0)</f>
        <v>5.89</v>
      </c>
    </row>
    <row r="5" ht="20.05" customHeight="1">
      <c r="A5" s="7">
        <v>13</v>
      </c>
      <c r="B5" s="8" cm="1">
        <f t="array" ref="B5">_xlfn.IFERROR(VLOOKUP($A5,'pop'!$A$2:$C$89,2,FALSE),0)</f>
        <v>599182</v>
      </c>
      <c r="C5" s="9" cm="1">
        <f t="array" ref="C5">_xlfn.IFERROR(VLOOKUP($A5,'liss'!$A$2:$C$56,2,FALSE),0)</f>
        <v>424</v>
      </c>
      <c r="D5" s="9" cm="1">
        <f t="array" ref="D5">_xlfn.IFERROR(VLOOKUP($A5,'pop'!$A$2:$C$89,3,FALSE),0)</f>
        <v>9.51</v>
      </c>
      <c r="E5" s="9" cm="1">
        <f t="array" ref="E5">_xlfn.IFERROR(VLOOKUP($A5,'liss'!$A$2:$C$56,3,FALSE),0)</f>
        <v>3.71</v>
      </c>
    </row>
    <row r="6" ht="20.05" customHeight="1">
      <c r="A6" s="7">
        <v>71</v>
      </c>
      <c r="B6" s="8" cm="1">
        <f t="array" ref="B6">_xlfn.IFERROR(VLOOKUP($A6,'pop'!$A$2:$C$89,2,FALSE),0)</f>
        <v>588523</v>
      </c>
      <c r="C6" s="9" cm="1">
        <f t="array" ref="C6">_xlfn.IFERROR(VLOOKUP($A6,'liss'!$A$2:$C$56,2,FALSE),0)</f>
        <v>2445</v>
      </c>
      <c r="D6" s="9" cm="1">
        <f t="array" ref="D6">_xlfn.IFERROR(VLOOKUP($A6,'pop'!$A$2:$C$89,3,FALSE),0)</f>
        <v>9.34</v>
      </c>
      <c r="E6" s="9" cm="1">
        <f t="array" ref="E6">_xlfn.IFERROR(VLOOKUP($A6,'liss'!$A$2:$C$56,3,FALSE),0)</f>
        <v>21.37</v>
      </c>
    </row>
    <row r="7" ht="20.05" customHeight="1">
      <c r="A7" s="7">
        <v>49</v>
      </c>
      <c r="B7" s="8" cm="1">
        <f t="array" ref="B7">_xlfn.IFERROR(VLOOKUP($A7,'pop'!$A$2:$C$89,2,FALSE),0)</f>
        <v>515545</v>
      </c>
      <c r="C7" s="9" cm="1">
        <f t="array" ref="C7">_xlfn.IFERROR(VLOOKUP($A7,'liss'!$A$2:$C$56,2,FALSE),0)</f>
        <v>1489</v>
      </c>
      <c r="D7" s="9" cm="1">
        <f t="array" ref="D7">_xlfn.IFERROR(VLOOKUP($A7,'pop'!$A$2:$C$89,3,FALSE),0)</f>
        <v>8.19</v>
      </c>
      <c r="E7" s="9" cm="1">
        <f t="array" ref="E7">_xlfn.IFERROR(VLOOKUP($A7,'liss'!$A$2:$C$56,3,FALSE),0)</f>
        <v>13.01</v>
      </c>
    </row>
    <row r="8" ht="20.05" customHeight="1">
      <c r="A8" s="7">
        <v>89</v>
      </c>
      <c r="B8" s="8" cm="1">
        <f t="array" ref="B8">_xlfn.IFERROR(VLOOKUP($A8,'pop'!$A$2:$C$89,2,FALSE),0)</f>
        <v>428369</v>
      </c>
      <c r="C8" s="9" cm="1">
        <f t="array" ref="C8">_xlfn.IFERROR(VLOOKUP($A8,'liss'!$A$2:$C$56,2,FALSE),0)</f>
        <v>560</v>
      </c>
      <c r="D8" s="9" cm="1">
        <f t="array" ref="D8">_xlfn.IFERROR(VLOOKUP($A8,'pop'!$A$2:$C$89,3,FALSE),0)</f>
        <v>6.8</v>
      </c>
      <c r="E8" s="9" cm="1">
        <f t="array" ref="E8">_xlfn.IFERROR(VLOOKUP($A8,'liss'!$A$2:$C$56,3,FALSE),0)</f>
        <v>4.89</v>
      </c>
    </row>
    <row r="9" ht="20.05" customHeight="1">
      <c r="A9" s="7">
        <v>92</v>
      </c>
      <c r="B9" s="8" cm="1">
        <f t="array" ref="B9">_xlfn.IFERROR(VLOOKUP($A9,'pop'!$A$2:$C$89,2,FALSE),0)</f>
        <v>420590</v>
      </c>
      <c r="C9" s="9" cm="1">
        <f t="array" ref="C9">_xlfn.IFERROR(VLOOKUP($A9,'liss'!$A$2:$C$56,2,FALSE),0)</f>
        <v>941</v>
      </c>
      <c r="D9" s="9" cm="1">
        <f t="array" ref="D9">_xlfn.IFERROR(VLOOKUP($A9,'pop'!$A$2:$C$89,3,FALSE),0)</f>
        <v>6.68</v>
      </c>
      <c r="E9" s="9" cm="1">
        <f t="array" ref="E9">_xlfn.IFERROR(VLOOKUP($A9,'liss'!$A$2:$C$56,3,FALSE),0)</f>
        <v>8.220000000000001</v>
      </c>
    </row>
    <row r="10" ht="20.05" customHeight="1">
      <c r="A10" s="7">
        <v>46</v>
      </c>
      <c r="B10" s="8" cm="1">
        <f t="array" ref="B10">_xlfn.IFERROR(VLOOKUP($A10,'pop'!$A$2:$C$89,2,FALSE),0)</f>
        <v>359648</v>
      </c>
      <c r="C10" s="9" cm="1">
        <f t="array" ref="C10">_xlfn.IFERROR(VLOOKUP($A10,'liss'!$A$2:$C$56,2,FALSE),0)</f>
        <v>753</v>
      </c>
      <c r="D10" s="9" cm="1">
        <f t="array" ref="D10">_xlfn.IFERROR(VLOOKUP($A10,'pop'!$A$2:$C$89,3,FALSE),0)</f>
        <v>5.71</v>
      </c>
      <c r="E10" s="9" cm="1">
        <f t="array" ref="E10">_xlfn.IFERROR(VLOOKUP($A10,'liss'!$A$2:$C$56,3,FALSE),0)</f>
        <v>6.58</v>
      </c>
    </row>
    <row r="11" ht="20.05" customHeight="1">
      <c r="A11" s="7">
        <v>36</v>
      </c>
      <c r="B11" s="8" cm="1">
        <f t="array" ref="B11">_xlfn.IFERROR(VLOOKUP($A11,'pop'!$A$2:$C$89,2,FALSE),0)</f>
        <v>334097</v>
      </c>
      <c r="C11" s="9" cm="1">
        <f t="array" ref="C11">_xlfn.IFERROR(VLOOKUP($A11,'liss'!$A$2:$C$56,2,FALSE),0)</f>
        <v>311</v>
      </c>
      <c r="D11" s="9" cm="1">
        <f t="array" ref="D11">_xlfn.IFERROR(VLOOKUP($A11,'pop'!$A$2:$C$89,3,FALSE),0)</f>
        <v>5.3</v>
      </c>
      <c r="E11" s="9" cm="1">
        <f t="array" ref="E11">_xlfn.IFERROR(VLOOKUP($A11,'liss'!$A$2:$C$56,3,FALSE),0)</f>
        <v>2.72</v>
      </c>
    </row>
    <row r="12" ht="20.05" customHeight="1">
      <c r="A12" s="7">
        <v>22</v>
      </c>
      <c r="B12" s="8" cm="1">
        <f t="array" ref="B12">_xlfn.IFERROR(VLOOKUP($A12,'pop'!$A$2:$C$89,2,FALSE),0)</f>
        <v>163124</v>
      </c>
      <c r="C12" s="9" cm="1">
        <f t="array" ref="C12">_xlfn.IFERROR(VLOOKUP($A12,'liss'!$A$2:$C$56,2,FALSE),0)</f>
        <v>218</v>
      </c>
      <c r="D12" s="9" cm="1">
        <f t="array" ref="D12">_xlfn.IFERROR(VLOOKUP($A12,'pop'!$A$2:$C$89,3,FALSE),0)</f>
        <v>2.59</v>
      </c>
      <c r="E12" s="9" cm="1">
        <f t="array" ref="E12">_xlfn.IFERROR(VLOOKUP($A12,'liss'!$A$2:$C$56,3,FALSE),0)</f>
        <v>1.91</v>
      </c>
    </row>
    <row r="13" ht="20.05" customHeight="1">
      <c r="A13" s="7">
        <v>76</v>
      </c>
      <c r="B13" s="8" cm="1">
        <f t="array" ref="B13">_xlfn.IFERROR(VLOOKUP($A13,'pop'!$A$2:$C$89,2,FALSE),0)</f>
        <v>154595</v>
      </c>
      <c r="C13" s="9" cm="1">
        <f t="array" ref="C13">_xlfn.IFERROR(VLOOKUP($A13,'liss'!$A$2:$C$56,2,FALSE),0)</f>
        <v>122</v>
      </c>
      <c r="D13" s="9" cm="1">
        <f t="array" ref="D13">_xlfn.IFERROR(VLOOKUP($A13,'pop'!$A$2:$C$89,3,FALSE),0)</f>
        <v>2.45</v>
      </c>
      <c r="E13" s="9" cm="1">
        <f t="array" ref="E13">_xlfn.IFERROR(VLOOKUP($A13,'liss'!$A$2:$C$56,3,FALSE),0)</f>
        <v>1.07</v>
      </c>
    </row>
    <row r="14" ht="20.05" customHeight="1">
      <c r="A14" s="7">
        <v>37</v>
      </c>
      <c r="B14" s="8" cm="1">
        <f t="array" ref="B14">_xlfn.IFERROR(VLOOKUP($A14,'pop'!$A$2:$C$89,2,FALSE),0)</f>
        <v>140583</v>
      </c>
      <c r="C14" s="9" cm="1">
        <f t="array" ref="C14">_xlfn.IFERROR(VLOOKUP($A14,'liss'!$A$2:$C$56,2,FALSE),0)</f>
        <v>287</v>
      </c>
      <c r="D14" s="9" cm="1">
        <f t="array" ref="D14">_xlfn.IFERROR(VLOOKUP($A14,'pop'!$A$2:$C$89,3,FALSE),0)</f>
        <v>2.23</v>
      </c>
      <c r="E14" s="9" cm="1">
        <f t="array" ref="E14">_xlfn.IFERROR(VLOOKUP($A14,'liss'!$A$2:$C$56,3,FALSE),0)</f>
        <v>2.51</v>
      </c>
    </row>
    <row r="15" ht="20.05" customHeight="1">
      <c r="A15" s="7">
        <v>48</v>
      </c>
      <c r="B15" s="8" cm="1">
        <f t="array" ref="B15">_xlfn.IFERROR(VLOOKUP($A15,'pop'!$A$2:$C$89,2,FALSE),0)</f>
        <v>110691</v>
      </c>
      <c r="C15" s="9" cm="1">
        <f t="array" ref="C15">_xlfn.IFERROR(VLOOKUP($A15,'liss'!$A$2:$C$56,2,FALSE),0)</f>
        <v>138</v>
      </c>
      <c r="D15" s="9" cm="1">
        <f t="array" ref="D15">_xlfn.IFERROR(VLOOKUP($A15,'pop'!$A$2:$C$89,3,FALSE),0)</f>
        <v>1.76</v>
      </c>
      <c r="E15" s="9" cm="1">
        <f t="array" ref="E15">_xlfn.IFERROR(VLOOKUP($A15,'liss'!$A$2:$C$56,3,FALSE),0)</f>
        <v>1.21</v>
      </c>
    </row>
    <row r="16" ht="20.05" customHeight="1">
      <c r="A16" s="7">
        <v>11</v>
      </c>
      <c r="B16" s="8" cm="1">
        <f t="array" ref="B16">_xlfn.IFERROR(VLOOKUP($A16,'pop'!$A$2:$C$89,2,FALSE),0)</f>
        <v>91090</v>
      </c>
      <c r="C16" s="9" cm="1">
        <f t="array" ref="C16">_xlfn.IFERROR(VLOOKUP($A16,'liss'!$A$2:$C$56,2,FALSE),0)</f>
        <v>165</v>
      </c>
      <c r="D16" s="9" cm="1">
        <f t="array" ref="D16">_xlfn.IFERROR(VLOOKUP($A16,'pop'!$A$2:$C$89,3,FALSE),0)</f>
        <v>1.45</v>
      </c>
      <c r="E16" s="9" cm="1">
        <f t="array" ref="E16">_xlfn.IFERROR(VLOOKUP($A16,'liss'!$A$2:$C$56,3,FALSE),0)</f>
        <v>1.44</v>
      </c>
    </row>
    <row r="17" ht="20.05" customHeight="1">
      <c r="A17" s="7">
        <v>1</v>
      </c>
      <c r="B17" s="8" cm="1">
        <f t="array" ref="B17">_xlfn.IFERROR(VLOOKUP($A17,'pop'!$A$2:$C$89,2,FALSE),0)</f>
        <v>84022</v>
      </c>
      <c r="C17" s="9" cm="1">
        <f t="array" ref="C17">_xlfn.IFERROR(VLOOKUP($A17,'liss'!$A$2:$C$56,2,FALSE),0)</f>
        <v>91</v>
      </c>
      <c r="D17" s="9" cm="1">
        <f t="array" ref="D17">_xlfn.IFERROR(VLOOKUP($A17,'pop'!$A$2:$C$89,3,FALSE),0)</f>
        <v>1.33</v>
      </c>
      <c r="E17" s="9" cm="1">
        <f t="array" ref="E17">_xlfn.IFERROR(VLOOKUP($A17,'liss'!$A$2:$C$56,3,FALSE),0)</f>
        <v>0.8</v>
      </c>
    </row>
    <row r="18" ht="20.05" customHeight="1">
      <c r="A18" s="7">
        <v>87</v>
      </c>
      <c r="B18" s="8" cm="1">
        <f t="array" ref="B18">_xlfn.IFERROR(VLOOKUP($A18,'pop'!$A$2:$C$89,2,FALSE),0)</f>
        <v>61330</v>
      </c>
      <c r="C18" s="9" cm="1">
        <f t="array" ref="C18">_xlfn.IFERROR(VLOOKUP($A18,'liss'!$A$2:$C$56,2,FALSE),0)</f>
        <v>32</v>
      </c>
      <c r="D18" s="9" cm="1">
        <f t="array" ref="D18">_xlfn.IFERROR(VLOOKUP($A18,'pop'!$A$2:$C$89,3,FALSE),0)</f>
        <v>0.97</v>
      </c>
      <c r="E18" s="9" cm="1">
        <f t="array" ref="E18">_xlfn.IFERROR(VLOOKUP($A18,'liss'!$A$2:$C$56,3,FALSE),0)</f>
        <v>0.28</v>
      </c>
    </row>
    <row r="19" ht="20.05" customHeight="1">
      <c r="A19" s="7">
        <v>18</v>
      </c>
      <c r="B19" s="8" cm="1">
        <f t="array" ref="B19">_xlfn.IFERROR(VLOOKUP($A19,'pop'!$A$2:$C$89,2,FALSE),0)</f>
        <v>57766</v>
      </c>
      <c r="C19" s="9" cm="1">
        <f t="array" ref="C19">_xlfn.IFERROR(VLOOKUP($A19,'liss'!$A$2:$C$56,2,FALSE),0)</f>
        <v>27</v>
      </c>
      <c r="D19" s="9" cm="1">
        <f t="array" ref="D19">_xlfn.IFERROR(VLOOKUP($A19,'pop'!$A$2:$C$89,3,FALSE),0)</f>
        <v>0.92</v>
      </c>
      <c r="E19" s="9" cm="1">
        <f t="array" ref="E19">_xlfn.IFERROR(VLOOKUP($A19,'liss'!$A$2:$C$56,3,FALSE),0)</f>
        <v>0.24</v>
      </c>
    </row>
    <row r="20" ht="20.05" customHeight="1">
      <c r="A20" s="7">
        <v>65</v>
      </c>
      <c r="B20" s="8" cm="1">
        <f t="array" ref="B20">_xlfn.IFERROR(VLOOKUP($A20,'pop'!$A$2:$C$89,2,FALSE),0)</f>
        <v>48708</v>
      </c>
      <c r="C20" s="9" cm="1">
        <f t="array" ref="C20">_xlfn.IFERROR(VLOOKUP($A20,'liss'!$A$2:$C$56,2,FALSE),0)</f>
        <v>36</v>
      </c>
      <c r="D20" s="9" cm="1">
        <f t="array" ref="D20">_xlfn.IFERROR(VLOOKUP($A20,'pop'!$A$2:$C$89,3,FALSE),0)</f>
        <v>0.77</v>
      </c>
      <c r="E20" s="9" cm="1">
        <f t="array" ref="E20">_xlfn.IFERROR(VLOOKUP($A20,'liss'!$A$2:$C$56,3,FALSE),0)</f>
        <v>0.31</v>
      </c>
    </row>
    <row r="21" ht="20.05" customHeight="1">
      <c r="A21" s="7">
        <v>23</v>
      </c>
      <c r="B21" s="8" cm="1">
        <f t="array" ref="B21">_xlfn.IFERROR(VLOOKUP($A21,'pop'!$A$2:$C$89,2,FALSE),0)</f>
        <v>47497</v>
      </c>
      <c r="C21" s="9" cm="1">
        <f t="array" ref="C21">_xlfn.IFERROR(VLOOKUP($A21,'liss'!$A$2:$C$56,2,FALSE),0)</f>
        <v>478</v>
      </c>
      <c r="D21" s="9" cm="1">
        <f t="array" ref="D21">_xlfn.IFERROR(VLOOKUP($A21,'pop'!$A$2:$C$89,3,FALSE),0)</f>
        <v>0.75</v>
      </c>
      <c r="E21" s="9" cm="1">
        <f t="array" ref="E21">_xlfn.IFERROR(VLOOKUP($A21,'liss'!$A$2:$C$56,3,FALSE),0)</f>
        <v>4.18</v>
      </c>
    </row>
    <row r="22" ht="20.05" customHeight="1">
      <c r="A22" s="7">
        <v>66</v>
      </c>
      <c r="B22" s="8" cm="1">
        <f t="array" ref="B22">_xlfn.IFERROR(VLOOKUP($A22,'pop'!$A$2:$C$89,2,FALSE),0)</f>
        <v>34587</v>
      </c>
      <c r="C22" s="9" cm="1">
        <f t="array" ref="C22">_xlfn.IFERROR(VLOOKUP($A22,'liss'!$A$2:$C$56,2,FALSE),0)</f>
        <v>286</v>
      </c>
      <c r="D22" s="9" cm="1">
        <f t="array" ref="D22">_xlfn.IFERROR(VLOOKUP($A22,'pop'!$A$2:$C$89,3,FALSE),0)</f>
        <v>0.55</v>
      </c>
      <c r="E22" s="9" cm="1">
        <f t="array" ref="E22">_xlfn.IFERROR(VLOOKUP($A22,'liss'!$A$2:$C$56,3,FALSE),0)</f>
        <v>2.5</v>
      </c>
    </row>
    <row r="23" ht="20.05" customHeight="1">
      <c r="A23" s="7">
        <v>93</v>
      </c>
      <c r="B23" s="8" cm="1">
        <f t="array" ref="B23">_xlfn.IFERROR(VLOOKUP($A23,'pop'!$A$2:$C$89,2,FALSE),0)</f>
        <v>28060</v>
      </c>
      <c r="C23" s="9" cm="1">
        <f t="array" ref="C23">_xlfn.IFERROR(VLOOKUP($A23,'liss'!$A$2:$C$56,2,FALSE),0)</f>
        <v>138</v>
      </c>
      <c r="D23" s="9" cm="1">
        <f t="array" ref="D23">_xlfn.IFERROR(VLOOKUP($A23,'pop'!$A$2:$C$89,3,FALSE),0)</f>
        <v>0.45</v>
      </c>
      <c r="E23" s="9" cm="1">
        <f t="array" ref="E23">_xlfn.IFERROR(VLOOKUP($A23,'liss'!$A$2:$C$56,3,FALSE),0)</f>
        <v>1.21</v>
      </c>
    </row>
    <row r="24" ht="20.05" customHeight="1">
      <c r="A24" s="7">
        <v>85</v>
      </c>
      <c r="B24" s="8" cm="1">
        <f t="array" ref="B24">_xlfn.IFERROR(VLOOKUP($A24,'pop'!$A$2:$C$89,2,FALSE),0)</f>
        <v>12855</v>
      </c>
      <c r="C24" s="9" cm="1">
        <f t="array" ref="C24">_xlfn.IFERROR(VLOOKUP($A24,'liss'!$A$2:$C$56,2,FALSE),0)</f>
        <v>6</v>
      </c>
      <c r="D24" s="9" cm="1">
        <f t="array" ref="D24">_xlfn.IFERROR(VLOOKUP($A24,'pop'!$A$2:$C$89,3,FALSE),0)</f>
        <v>0.2</v>
      </c>
      <c r="E24" s="9" cm="1">
        <f t="array" ref="E24">_xlfn.IFERROR(VLOOKUP($A24,'liss'!$A$2:$C$56,3,FALSE),0)</f>
        <v>0.05</v>
      </c>
    </row>
    <row r="25" ht="20.05" customHeight="1">
      <c r="A25" s="7">
        <v>39</v>
      </c>
      <c r="B25" s="8" cm="1">
        <f t="array" ref="B25">_xlfn.IFERROR(VLOOKUP($A25,'pop'!$A$2:$C$89,2,FALSE),0)</f>
        <v>10828</v>
      </c>
      <c r="C25" s="9" cm="1">
        <f t="array" ref="C25">_xlfn.IFERROR(VLOOKUP($A25,'liss'!$A$2:$C$56,2,FALSE),0)</f>
        <v>25</v>
      </c>
      <c r="D25" s="9" cm="1">
        <f t="array" ref="D25">_xlfn.IFERROR(VLOOKUP($A25,'pop'!$A$2:$C$89,3,FALSE),0)</f>
        <v>0.17</v>
      </c>
      <c r="E25" s="9" cm="1">
        <f t="array" ref="E25">_xlfn.IFERROR(VLOOKUP($A25,'liss'!$A$2:$C$56,3,FALSE),0)</f>
        <v>0.22</v>
      </c>
    </row>
    <row r="26" ht="20.05" customHeight="1">
      <c r="A26" s="7">
        <v>3</v>
      </c>
      <c r="B26" s="8" cm="1">
        <f t="array" ref="B26">_xlfn.IFERROR(VLOOKUP($A26,'pop'!$A$2:$C$89,2,FALSE),0)</f>
        <v>10537</v>
      </c>
      <c r="C26" s="9" cm="1">
        <f t="array" ref="C26">_xlfn.IFERROR(VLOOKUP($A26,'liss'!$A$2:$C$56,2,FALSE),0)</f>
        <v>6</v>
      </c>
      <c r="D26" s="9" cm="1">
        <f t="array" ref="D26">_xlfn.IFERROR(VLOOKUP($A26,'pop'!$A$2:$C$89,3,FALSE),0)</f>
        <v>0.17</v>
      </c>
      <c r="E26" s="9" cm="1">
        <f t="array" ref="E26">_xlfn.IFERROR(VLOOKUP($A26,'liss'!$A$2:$C$56,3,FALSE),0)</f>
        <v>0.05</v>
      </c>
    </row>
    <row r="27" ht="20.05" customHeight="1">
      <c r="A27" s="7">
        <v>43</v>
      </c>
      <c r="B27" s="8" cm="1">
        <f t="array" ref="B27">_xlfn.IFERROR(VLOOKUP($A27,'pop'!$A$2:$C$89,2,FALSE),0)</f>
        <v>9891</v>
      </c>
      <c r="C27" s="9" cm="1">
        <f t="array" ref="C27">_xlfn.IFERROR(VLOOKUP($A27,'liss'!$A$2:$C$56,2,FALSE),0)</f>
        <v>7</v>
      </c>
      <c r="D27" s="9" cm="1">
        <f t="array" ref="D27">_xlfn.IFERROR(VLOOKUP($A27,'pop'!$A$2:$C$89,3,FALSE),0)</f>
        <v>0.16</v>
      </c>
      <c r="E27" s="9" cm="1">
        <f t="array" ref="E27">_xlfn.IFERROR(VLOOKUP($A27,'liss'!$A$2:$C$56,3,FALSE),0)</f>
        <v>0.06</v>
      </c>
    </row>
    <row r="28" ht="20.05" customHeight="1">
      <c r="A28" s="7">
        <v>7</v>
      </c>
      <c r="B28" s="8" cm="1">
        <f t="array" ref="B28">_xlfn.IFERROR(VLOOKUP($A28,'pop'!$A$2:$C$89,2,FALSE),0)</f>
        <v>9405</v>
      </c>
      <c r="C28" s="9" cm="1">
        <f t="array" ref="C28">_xlfn.IFERROR(VLOOKUP($A28,'liss'!$A$2:$C$56,2,FALSE),0)</f>
        <v>184</v>
      </c>
      <c r="D28" s="9" cm="1">
        <f t="array" ref="D28">_xlfn.IFERROR(VLOOKUP($A28,'pop'!$A$2:$C$89,3,FALSE),0)</f>
        <v>0.15</v>
      </c>
      <c r="E28" s="9" cm="1">
        <f t="array" ref="E28">_xlfn.IFERROR(VLOOKUP($A28,'liss'!$A$2:$C$56,3,FALSE),0)</f>
        <v>1.61</v>
      </c>
    </row>
    <row r="29" ht="20.05" customHeight="1">
      <c r="A29" s="7">
        <v>86</v>
      </c>
      <c r="B29" s="8" cm="1">
        <f t="array" ref="B29">_xlfn.IFERROR(VLOOKUP($A29,'pop'!$A$2:$C$89,2,FALSE),0)</f>
        <v>9341</v>
      </c>
      <c r="C29" s="9" cm="1">
        <f t="array" ref="C29">_xlfn.IFERROR(VLOOKUP($A29,'liss'!$A$2:$C$56,2,FALSE),0)</f>
        <v>14</v>
      </c>
      <c r="D29" s="9" cm="1">
        <f t="array" ref="D29">_xlfn.IFERROR(VLOOKUP($A29,'pop'!$A$2:$C$89,3,FALSE),0)</f>
        <v>0.15</v>
      </c>
      <c r="E29" s="9" cm="1">
        <f t="array" ref="E29">_xlfn.IFERROR(VLOOKUP($A29,'liss'!$A$2:$C$56,3,FALSE),0)</f>
        <v>0.12</v>
      </c>
    </row>
    <row r="30" ht="20.05" customHeight="1">
      <c r="A30" s="7">
        <v>20</v>
      </c>
      <c r="B30" s="8" cm="1">
        <f t="array" ref="B30">_xlfn.IFERROR(VLOOKUP($A30,'pop'!$A$2:$C$89,2,FALSE),0)</f>
        <v>9023</v>
      </c>
      <c r="C30" s="9" cm="1">
        <f t="array" ref="C30">_xlfn.IFERROR(VLOOKUP($A30,'liss'!$A$2:$C$56,2,FALSE),0)</f>
        <v>9</v>
      </c>
      <c r="D30" s="9" cm="1">
        <f t="array" ref="D30">_xlfn.IFERROR(VLOOKUP($A30,'pop'!$A$2:$C$89,3,FALSE),0)</f>
        <v>0.14</v>
      </c>
      <c r="E30" s="9" cm="1">
        <f t="array" ref="E30">_xlfn.IFERROR(VLOOKUP($A30,'liss'!$A$2:$C$56,3,FALSE),0)</f>
        <v>0.08</v>
      </c>
    </row>
    <row r="31" ht="20.05" customHeight="1">
      <c r="A31" s="7">
        <v>8</v>
      </c>
      <c r="B31" s="8" cm="1">
        <f t="array" ref="B31">_xlfn.IFERROR(VLOOKUP($A31,'pop'!$A$2:$C$89,2,FALSE),0)</f>
        <v>8697</v>
      </c>
      <c r="C31" s="9" cm="1">
        <f t="array" ref="C31">_xlfn.IFERROR(VLOOKUP($A31,'liss'!$A$2:$C$56,2,FALSE),0)</f>
        <v>21</v>
      </c>
      <c r="D31" s="9" cm="1">
        <f t="array" ref="D31">_xlfn.IFERROR(VLOOKUP($A31,'pop'!$A$2:$C$89,3,FALSE),0)</f>
        <v>0.14</v>
      </c>
      <c r="E31" s="9" cm="1">
        <f t="array" ref="E31">_xlfn.IFERROR(VLOOKUP($A31,'liss'!$A$2:$C$56,3,FALSE),0)</f>
        <v>0.18</v>
      </c>
    </row>
    <row r="32" ht="20.05" customHeight="1">
      <c r="A32" s="7">
        <v>90</v>
      </c>
      <c r="B32" s="8" cm="1">
        <f t="array" ref="B32">_xlfn.IFERROR(VLOOKUP($A32,'pop'!$A$2:$C$89,2,FALSE),0)</f>
        <v>8103</v>
      </c>
      <c r="C32" s="9" cm="1">
        <f t="array" ref="C32">_xlfn.IFERROR(VLOOKUP($A32,'liss'!$A$2:$C$56,2,FALSE),0)</f>
        <v>10</v>
      </c>
      <c r="D32" s="9" cm="1">
        <f t="array" ref="D32">_xlfn.IFERROR(VLOOKUP($A32,'pop'!$A$2:$C$89,3,FALSE),0)</f>
        <v>0.13</v>
      </c>
      <c r="E32" s="9" cm="1">
        <f t="array" ref="E32">_xlfn.IFERROR(VLOOKUP($A32,'liss'!$A$2:$C$56,3,FALSE),0)</f>
        <v>0.09</v>
      </c>
    </row>
    <row r="33" ht="20.05" customHeight="1">
      <c r="A33" s="7">
        <v>40</v>
      </c>
      <c r="B33" s="8" cm="1">
        <f t="array" ref="B33">_xlfn.IFERROR(VLOOKUP($A33,'pop'!$A$2:$C$89,2,FALSE),0)</f>
        <v>7286</v>
      </c>
      <c r="C33" s="9" cm="1">
        <f t="array" ref="C33">_xlfn.IFERROR(VLOOKUP($A33,'liss'!$A$2:$C$56,2,FALSE),0)</f>
        <v>4</v>
      </c>
      <c r="D33" s="9" cm="1">
        <f t="array" ref="D33">_xlfn.IFERROR(VLOOKUP($A33,'pop'!$A$2:$C$89,3,FALSE),0)</f>
        <v>0.12</v>
      </c>
      <c r="E33" s="9" cm="1">
        <f t="array" ref="E33">_xlfn.IFERROR(VLOOKUP($A33,'liss'!$A$2:$C$56,3,FALSE),0)</f>
        <v>0.03</v>
      </c>
    </row>
    <row r="34" ht="20.05" customHeight="1">
      <c r="A34" s="7">
        <v>79</v>
      </c>
      <c r="B34" s="8" cm="1">
        <f t="array" ref="B34">_xlfn.IFERROR(VLOOKUP($A34,'pop'!$A$2:$C$89,2,FALSE),0)</f>
        <v>7020</v>
      </c>
      <c r="C34" s="9" cm="1">
        <f t="array" ref="C34">_xlfn.IFERROR(VLOOKUP($A34,'liss'!$A$2:$C$56,2,FALSE),0)</f>
        <v>8</v>
      </c>
      <c r="D34" s="9" cm="1">
        <f t="array" ref="D34">_xlfn.IFERROR(VLOOKUP($A34,'pop'!$A$2:$C$89,3,FALSE),0)</f>
        <v>0.11</v>
      </c>
      <c r="E34" s="9" cm="1">
        <f t="array" ref="E34">_xlfn.IFERROR(VLOOKUP($A34,'liss'!$A$2:$C$56,3,FALSE),0)</f>
        <v>0.07000000000000001</v>
      </c>
    </row>
    <row r="35" ht="20.05" customHeight="1">
      <c r="A35" s="7">
        <v>95</v>
      </c>
      <c r="B35" s="8" cm="1">
        <f t="array" ref="B35">_xlfn.IFERROR(VLOOKUP($A35,'pop'!$A$2:$C$89,2,FALSE),0)</f>
        <v>6836</v>
      </c>
      <c r="C35" s="9" cm="1">
        <f t="array" ref="C35">_xlfn.IFERROR(VLOOKUP($A35,'liss'!$A$2:$C$56,2,FALSE),0)</f>
        <v>81</v>
      </c>
      <c r="D35" s="9" cm="1">
        <f t="array" ref="D35">_xlfn.IFERROR(VLOOKUP($A35,'pop'!$A$2:$C$89,3,FALSE),0)</f>
        <v>0.11</v>
      </c>
      <c r="E35" s="9" cm="1">
        <f t="array" ref="E35">_xlfn.IFERROR(VLOOKUP($A35,'liss'!$A$2:$C$56,3,FALSE),0)</f>
        <v>0.71</v>
      </c>
    </row>
    <row r="36" ht="20.05" customHeight="1">
      <c r="A36" s="7">
        <v>10</v>
      </c>
      <c r="B36" s="8" cm="1">
        <f t="array" ref="B36">_xlfn.IFERROR(VLOOKUP($A36,'pop'!$A$2:$C$89,2,FALSE),0)</f>
        <v>6108</v>
      </c>
      <c r="C36" s="9" cm="1">
        <f t="array" ref="C36">_xlfn.IFERROR(VLOOKUP($A36,'liss'!$A$2:$C$56,2,FALSE),0)</f>
        <v>8</v>
      </c>
      <c r="D36" s="9" cm="1">
        <f t="array" ref="D36">_xlfn.IFERROR(VLOOKUP($A36,'pop'!$A$2:$C$89,3,FALSE),0)</f>
        <v>0.1</v>
      </c>
      <c r="E36" s="9" cm="1">
        <f t="array" ref="E36">_xlfn.IFERROR(VLOOKUP($A36,'liss'!$A$2:$C$56,3,FALSE),0)</f>
        <v>0.07000000000000001</v>
      </c>
    </row>
    <row r="37" ht="20.05" customHeight="1">
      <c r="A37" s="7">
        <v>33</v>
      </c>
      <c r="B37" s="8" cm="1">
        <f t="array" ref="B37">_xlfn.IFERROR(VLOOKUP($A37,'pop'!$A$2:$C$89,2,FALSE),0)</f>
        <v>5464</v>
      </c>
      <c r="C37" s="9" cm="1">
        <f t="array" ref="C37">_xlfn.IFERROR(VLOOKUP($A37,'liss'!$A$2:$C$56,2,FALSE),0)</f>
        <v>105</v>
      </c>
      <c r="D37" s="9" cm="1">
        <f t="array" ref="D37">_xlfn.IFERROR(VLOOKUP($A37,'pop'!$A$2:$C$89,3,FALSE),0)</f>
        <v>0.09</v>
      </c>
      <c r="E37" s="9" cm="1">
        <f t="array" ref="E37">_xlfn.IFERROR(VLOOKUP($A37,'liss'!$A$2:$C$56,3,FALSE),0)</f>
        <v>0.92</v>
      </c>
    </row>
    <row r="38" ht="20.05" customHeight="1">
      <c r="A38" s="7">
        <v>80</v>
      </c>
      <c r="B38" s="8" cm="1">
        <f t="array" ref="B38">_xlfn.IFERROR(VLOOKUP($A38,'pop'!$A$2:$C$89,2,FALSE),0)</f>
        <v>3865</v>
      </c>
      <c r="C38" s="9" cm="1">
        <f t="array" ref="C38">_xlfn.IFERROR(VLOOKUP($A38,'liss'!$A$2:$C$56,2,FALSE),0)</f>
        <v>32</v>
      </c>
      <c r="D38" s="9" cm="1">
        <f t="array" ref="D38">_xlfn.IFERROR(VLOOKUP($A38,'pop'!$A$2:$C$89,3,FALSE),0)</f>
        <v>0.06</v>
      </c>
      <c r="E38" s="9" cm="1">
        <f t="array" ref="E38">_xlfn.IFERROR(VLOOKUP($A38,'liss'!$A$2:$C$56,3,FALSE),0)</f>
        <v>0.28</v>
      </c>
    </row>
    <row r="39" ht="20.05" customHeight="1">
      <c r="A39" s="7">
        <v>2</v>
      </c>
      <c r="B39" s="8" cm="1">
        <f t="array" ref="B39">_xlfn.IFERROR(VLOOKUP($A39,'pop'!$A$2:$C$89,2,FALSE),0)</f>
        <v>3857</v>
      </c>
      <c r="C39" s="9" cm="1">
        <f t="array" ref="C39">_xlfn.IFERROR(VLOOKUP($A39,'liss'!$A$2:$C$56,2,FALSE),0)</f>
        <v>9</v>
      </c>
      <c r="D39" s="9" cm="1">
        <f t="array" ref="D39">_xlfn.IFERROR(VLOOKUP($A39,'pop'!$A$2:$C$89,3,FALSE),0)</f>
        <v>0.06</v>
      </c>
      <c r="E39" s="9" cm="1">
        <f t="array" ref="E39">_xlfn.IFERROR(VLOOKUP($A39,'liss'!$A$2:$C$56,3,FALSE),0)</f>
        <v>0.08</v>
      </c>
    </row>
    <row r="40" ht="20.05" customHeight="1">
      <c r="A40" s="7">
        <v>98</v>
      </c>
      <c r="B40" s="8" cm="1">
        <f t="array" ref="B40">_xlfn.IFERROR(VLOOKUP($A40,'pop'!$A$2:$C$89,2,FALSE),0)</f>
        <v>3305</v>
      </c>
      <c r="C40" s="9" cm="1">
        <f t="array" ref="C40">_xlfn.IFERROR(VLOOKUP($A40,'liss'!$A$2:$C$56,2,FALSE),0)</f>
        <v>16</v>
      </c>
      <c r="D40" s="9" cm="1">
        <f t="array" ref="D40">_xlfn.IFERROR(VLOOKUP($A40,'pop'!$A$2:$C$89,3,FALSE),0)</f>
        <v>0.05</v>
      </c>
      <c r="E40" s="9" cm="1">
        <f t="array" ref="E40">_xlfn.IFERROR(VLOOKUP($A40,'liss'!$A$2:$C$56,3,FALSE),0)</f>
        <v>0.14</v>
      </c>
    </row>
    <row r="41" ht="20.05" customHeight="1">
      <c r="A41" s="7">
        <v>63</v>
      </c>
      <c r="B41" s="8" cm="1">
        <f t="array" ref="B41">_xlfn.IFERROR(VLOOKUP($A41,'pop'!$A$2:$C$89,2,FALSE),0)</f>
        <v>2944</v>
      </c>
      <c r="C41" s="9" cm="1">
        <f t="array" ref="C41">_xlfn.IFERROR(VLOOKUP($A41,'liss'!$A$2:$C$56,2,FALSE),0)</f>
        <v>6</v>
      </c>
      <c r="D41" s="9" cm="1">
        <f t="array" ref="D41">_xlfn.IFERROR(VLOOKUP($A41,'pop'!$A$2:$C$89,3,FALSE),0)</f>
        <v>0.05</v>
      </c>
      <c r="E41" s="9" cm="1">
        <f t="array" ref="E41">_xlfn.IFERROR(VLOOKUP($A41,'liss'!$A$2:$C$56,3,FALSE),0)</f>
        <v>0.05</v>
      </c>
    </row>
    <row r="42" ht="20.05" customHeight="1">
      <c r="A42" s="7">
        <v>16</v>
      </c>
      <c r="B42" s="8" cm="1">
        <f t="array" ref="B42">_xlfn.IFERROR(VLOOKUP($A42,'pop'!$A$2:$C$89,2,FALSE),0)</f>
        <v>2559</v>
      </c>
      <c r="C42" s="9" cm="1">
        <f t="array" ref="C42">_xlfn.IFERROR(VLOOKUP($A42,'liss'!$A$2:$C$56,2,FALSE),0)</f>
        <v>7</v>
      </c>
      <c r="D42" s="9" cm="1">
        <f t="array" ref="D42">_xlfn.IFERROR(VLOOKUP($A42,'pop'!$A$2:$C$89,3,FALSE),0)</f>
        <v>0.04</v>
      </c>
      <c r="E42" s="9" cm="1">
        <f t="array" ref="E42">_xlfn.IFERROR(VLOOKUP($A42,'liss'!$A$2:$C$56,3,FALSE),0)</f>
        <v>0.06</v>
      </c>
    </row>
    <row r="43" ht="20.05" customHeight="1">
      <c r="A43" s="7">
        <v>4</v>
      </c>
      <c r="B43" s="8" cm="1">
        <f t="array" ref="B43">_xlfn.IFERROR(VLOOKUP($A43,'pop'!$A$2:$C$89,2,FALSE),0)</f>
        <v>1908</v>
      </c>
      <c r="C43" s="9" cm="1">
        <f t="array" ref="C43">_xlfn.IFERROR(VLOOKUP($A43,'liss'!$A$2:$C$56,2,FALSE),0)</f>
        <v>5</v>
      </c>
      <c r="D43" s="9" cm="1">
        <f t="array" ref="D43">_xlfn.IFERROR(VLOOKUP($A43,'pop'!$A$2:$C$89,3,FALSE),0)</f>
        <v>0.03</v>
      </c>
      <c r="E43" s="9" cm="1">
        <f t="array" ref="E43">_xlfn.IFERROR(VLOOKUP($A43,'liss'!$A$2:$C$56,3,FALSE),0)</f>
        <v>0.04</v>
      </c>
    </row>
    <row r="44" ht="20.05" customHeight="1">
      <c r="A44" s="7">
        <v>78</v>
      </c>
      <c r="B44" s="8" cm="1">
        <f t="array" ref="B44">_xlfn.IFERROR(VLOOKUP($A44,'pop'!$A$2:$C$89,2,FALSE),0)</f>
        <v>1888</v>
      </c>
      <c r="C44" s="9" cm="1">
        <f t="array" ref="C44">_xlfn.IFERROR(VLOOKUP($A44,'liss'!$A$2:$C$56,2,FALSE),0)</f>
        <v>14</v>
      </c>
      <c r="D44" s="9" cm="1">
        <f t="array" ref="D44">_xlfn.IFERROR(VLOOKUP($A44,'pop'!$A$2:$C$89,3,FALSE),0)</f>
        <v>0.03</v>
      </c>
      <c r="E44" s="9" cm="1">
        <f t="array" ref="E44">_xlfn.IFERROR(VLOOKUP($A44,'liss'!$A$2:$C$56,3,FALSE),0)</f>
        <v>0.12</v>
      </c>
    </row>
    <row r="45" ht="20.05" customHeight="1">
      <c r="A45" s="7">
        <v>31</v>
      </c>
      <c r="B45" s="8" cm="1">
        <f t="array" ref="B45">_xlfn.IFERROR(VLOOKUP($A45,'pop'!$A$2:$C$89,2,FALSE),0)</f>
        <v>1833</v>
      </c>
      <c r="C45" s="9" cm="1">
        <f t="array" ref="C45">_xlfn.IFERROR(VLOOKUP($A45,'liss'!$A$2:$C$56,2,FALSE),0)</f>
        <v>10</v>
      </c>
      <c r="D45" s="9" cm="1">
        <f t="array" ref="D45">_xlfn.IFERROR(VLOOKUP($A45,'pop'!$A$2:$C$89,3,FALSE),0)</f>
        <v>0.03</v>
      </c>
      <c r="E45" s="9" cm="1">
        <f t="array" ref="E45">_xlfn.IFERROR(VLOOKUP($A45,'liss'!$A$2:$C$56,3,FALSE),0)</f>
        <v>0.09</v>
      </c>
    </row>
    <row r="46" ht="20.05" customHeight="1">
      <c r="A46" s="7">
        <v>17</v>
      </c>
      <c r="B46" s="8" cm="1">
        <f t="array" ref="B46">_xlfn.IFERROR(VLOOKUP($A46,'pop'!$A$2:$C$89,2,FALSE),0)</f>
        <v>1750</v>
      </c>
      <c r="C46" s="9" cm="1">
        <f t="array" ref="C46">_xlfn.IFERROR(VLOOKUP($A46,'liss'!$A$2:$C$56,2,FALSE),0)</f>
        <v>34</v>
      </c>
      <c r="D46" s="9" cm="1">
        <f t="array" ref="D46">_xlfn.IFERROR(VLOOKUP($A46,'pop'!$A$2:$C$89,3,FALSE),0)</f>
        <v>0.03</v>
      </c>
      <c r="E46" s="9" cm="1">
        <f t="array" ref="E46">_xlfn.IFERROR(VLOOKUP($A46,'liss'!$A$2:$C$56,3,FALSE),0)</f>
        <v>0.3</v>
      </c>
    </row>
    <row r="47" ht="20.05" customHeight="1">
      <c r="A47" s="7">
        <v>47</v>
      </c>
      <c r="B47" s="8" cm="1">
        <f t="array" ref="B47">_xlfn.IFERROR(VLOOKUP($A47,'pop'!$A$2:$C$89,2,FALSE),0)</f>
        <v>1535</v>
      </c>
      <c r="C47" s="9" cm="1">
        <f t="array" ref="C47">_xlfn.IFERROR(VLOOKUP($A47,'liss'!$A$2:$C$56,2,FALSE),0)</f>
        <v>0</v>
      </c>
      <c r="D47" s="9" cm="1">
        <f t="array" ref="D47">_xlfn.IFERROR(VLOOKUP($A47,'pop'!$A$2:$C$89,3,FALSE),0)</f>
        <v>0.02</v>
      </c>
      <c r="E47" s="9" cm="1">
        <f t="array" ref="E47">_xlfn.IFERROR(VLOOKUP($A47,'liss'!$A$2:$C$56,3,FALSE),0)</f>
        <v>0</v>
      </c>
    </row>
    <row r="48" ht="20.05" customHeight="1">
      <c r="A48" s="7">
        <v>9</v>
      </c>
      <c r="B48" s="8" cm="1">
        <f t="array" ref="B48">_xlfn.IFERROR(VLOOKUP($A48,'pop'!$A$2:$C$89,2,FALSE),0)</f>
        <v>1325</v>
      </c>
      <c r="C48" s="9" cm="1">
        <f t="array" ref="C48">_xlfn.IFERROR(VLOOKUP($A48,'liss'!$A$2:$C$56,2,FALSE),0)</f>
        <v>0</v>
      </c>
      <c r="D48" s="9" cm="1">
        <f t="array" ref="D48">_xlfn.IFERROR(VLOOKUP($A48,'pop'!$A$2:$C$89,3,FALSE),0)</f>
        <v>0.02</v>
      </c>
      <c r="E48" s="9" cm="1">
        <f t="array" ref="E48">_xlfn.IFERROR(VLOOKUP($A48,'liss'!$A$2:$C$56,3,FALSE),0)</f>
        <v>0</v>
      </c>
    </row>
    <row r="49" ht="20.05" customHeight="1">
      <c r="A49" s="7">
        <v>73</v>
      </c>
      <c r="B49" s="8" cm="1">
        <f t="array" ref="B49">_xlfn.IFERROR(VLOOKUP($A49,'pop'!$A$2:$C$89,2,FALSE),0)</f>
        <v>961</v>
      </c>
      <c r="C49" s="9" cm="1">
        <f t="array" ref="C49">_xlfn.IFERROR(VLOOKUP($A49,'liss'!$A$2:$C$56,2,FALSE),0)</f>
        <v>0</v>
      </c>
      <c r="D49" s="9" cm="1">
        <f t="array" ref="D49">_xlfn.IFERROR(VLOOKUP($A49,'pop'!$A$2:$C$89,3,FALSE),0)</f>
        <v>0.02</v>
      </c>
      <c r="E49" s="9" cm="1">
        <f t="array" ref="E49">_xlfn.IFERROR(VLOOKUP($A49,'liss'!$A$2:$C$56,3,FALSE),0)</f>
        <v>0</v>
      </c>
    </row>
    <row r="50" ht="20.05" customHeight="1">
      <c r="A50" s="7">
        <v>50</v>
      </c>
      <c r="B50" s="8" cm="1">
        <f t="array" ref="B50">_xlfn.IFERROR(VLOOKUP($A50,'pop'!$A$2:$C$89,2,FALSE),0)</f>
        <v>708</v>
      </c>
      <c r="C50" s="9" cm="1">
        <f t="array" ref="C50">_xlfn.IFERROR(VLOOKUP($A50,'liss'!$A$2:$C$56,2,FALSE),0)</f>
        <v>1</v>
      </c>
      <c r="D50" s="9" cm="1">
        <f t="array" ref="D50">_xlfn.IFERROR(VLOOKUP($A50,'pop'!$A$2:$C$89,3,FALSE),0)</f>
        <v>0.01</v>
      </c>
      <c r="E50" s="9" cm="1">
        <f t="array" ref="E50">_xlfn.IFERROR(VLOOKUP($A50,'liss'!$A$2:$C$56,3,FALSE),0)</f>
        <v>0.01</v>
      </c>
    </row>
    <row r="51" ht="20.05" customHeight="1">
      <c r="A51" s="7">
        <v>94</v>
      </c>
      <c r="B51" s="8" cm="1">
        <f t="array" ref="B51">_xlfn.IFERROR(VLOOKUP($A51,'pop'!$A$2:$C$89,2,FALSE),0)</f>
        <v>684</v>
      </c>
      <c r="C51" s="9" cm="1">
        <f t="array" ref="C51">_xlfn.IFERROR(VLOOKUP($A51,'liss'!$A$2:$C$56,2,FALSE),0)</f>
        <v>0</v>
      </c>
      <c r="D51" s="9" cm="1">
        <f t="array" ref="D51">_xlfn.IFERROR(VLOOKUP($A51,'pop'!$A$2:$C$89,3,FALSE),0)</f>
        <v>0.01</v>
      </c>
      <c r="E51" s="9" cm="1">
        <f t="array" ref="E51">_xlfn.IFERROR(VLOOKUP($A51,'liss'!$A$2:$C$56,3,FALSE),0)</f>
        <v>0</v>
      </c>
    </row>
    <row r="52" ht="20.05" customHeight="1">
      <c r="A52" s="7">
        <v>38</v>
      </c>
      <c r="B52" s="8" cm="1">
        <f t="array" ref="B52">_xlfn.IFERROR(VLOOKUP($A52,'pop'!$A$2:$C$89,2,FALSE),0)</f>
        <v>579</v>
      </c>
      <c r="C52" s="9" cm="1">
        <f t="array" ref="C52">_xlfn.IFERROR(VLOOKUP($A52,'liss'!$A$2:$C$56,2,FALSE),0)</f>
        <v>5</v>
      </c>
      <c r="D52" s="9" cm="1">
        <f t="array" ref="D52">_xlfn.IFERROR(VLOOKUP($A52,'pop'!$A$2:$C$89,3,FALSE),0)</f>
        <v>0.01</v>
      </c>
      <c r="E52" s="9" cm="1">
        <f t="array" ref="E52">_xlfn.IFERROR(VLOOKUP($A52,'liss'!$A$2:$C$56,3,FALSE),0)</f>
        <v>0.04</v>
      </c>
    </row>
    <row r="53" ht="20.05" customHeight="1">
      <c r="A53" s="7">
        <v>88</v>
      </c>
      <c r="B53" s="8" cm="1">
        <f t="array" ref="B53">_xlfn.IFERROR(VLOOKUP($A53,'pop'!$A$2:$C$89,2,FALSE),0)</f>
        <v>550</v>
      </c>
      <c r="C53" s="9" cm="1">
        <f t="array" ref="C53">_xlfn.IFERROR(VLOOKUP($A53,'liss'!$A$2:$C$56,2,FALSE),0)</f>
        <v>5</v>
      </c>
      <c r="D53" s="9" cm="1">
        <f t="array" ref="D53">_xlfn.IFERROR(VLOOKUP($A53,'pop'!$A$2:$C$89,3,FALSE),0)</f>
        <v>0.01</v>
      </c>
      <c r="E53" s="9" cm="1">
        <f t="array" ref="E53">_xlfn.IFERROR(VLOOKUP($A53,'liss'!$A$2:$C$56,3,FALSE),0)</f>
        <v>0.04</v>
      </c>
    </row>
    <row r="54" ht="20.05" customHeight="1">
      <c r="A54" s="7">
        <v>67</v>
      </c>
      <c r="B54" s="8" cm="1">
        <f t="array" ref="B54">_xlfn.IFERROR(VLOOKUP($A54,'pop'!$A$2:$C$89,2,FALSE),0)</f>
        <v>524</v>
      </c>
      <c r="C54" s="9" cm="1">
        <f t="array" ref="C54">_xlfn.IFERROR(VLOOKUP($A54,'liss'!$A$2:$C$56,2,FALSE),0)</f>
        <v>6</v>
      </c>
      <c r="D54" s="9" cm="1">
        <f t="array" ref="D54">_xlfn.IFERROR(VLOOKUP($A54,'pop'!$A$2:$C$89,3,FALSE),0)</f>
        <v>0.01</v>
      </c>
      <c r="E54" s="9" cm="1">
        <f t="array" ref="E54">_xlfn.IFERROR(VLOOKUP($A54,'liss'!$A$2:$C$56,3,FALSE),0)</f>
        <v>0.05</v>
      </c>
    </row>
    <row r="55" ht="20.05" customHeight="1">
      <c r="A55" s="7">
        <v>77</v>
      </c>
      <c r="B55" s="8" cm="1">
        <f t="array" ref="B55">_xlfn.IFERROR(VLOOKUP($A55,'pop'!$A$2:$C$89,2,FALSE),0)</f>
        <v>504</v>
      </c>
      <c r="C55" s="9" cm="1">
        <f t="array" ref="C55">_xlfn.IFERROR(VLOOKUP($A55,'liss'!$A$2:$C$56,2,FALSE),0)</f>
        <v>11</v>
      </c>
      <c r="D55" s="9" cm="1">
        <f t="array" ref="D55">_xlfn.IFERROR(VLOOKUP($A55,'pop'!$A$2:$C$89,3,FALSE),0)</f>
        <v>0.01</v>
      </c>
      <c r="E55" s="9" cm="1">
        <f t="array" ref="E55">_xlfn.IFERROR(VLOOKUP($A55,'liss'!$A$2:$C$56,3,FALSE),0)</f>
        <v>0.1</v>
      </c>
    </row>
    <row r="56" ht="20.05" customHeight="1">
      <c r="A56" s="7">
        <v>24</v>
      </c>
      <c r="B56" s="8" cm="1">
        <f t="array" ref="B56">_xlfn.IFERROR(VLOOKUP($A56,'pop'!$A$2:$C$89,2,FALSE),0)</f>
        <v>351</v>
      </c>
      <c r="C56" s="9" cm="1">
        <f t="array" ref="C56">_xlfn.IFERROR(VLOOKUP($A56,'liss'!$A$2:$C$56,2,FALSE),0)</f>
        <v>2</v>
      </c>
      <c r="D56" s="9" cm="1">
        <f t="array" ref="D56">_xlfn.IFERROR(VLOOKUP($A56,'pop'!$A$2:$C$89,3,FALSE),0)</f>
        <v>0.01</v>
      </c>
      <c r="E56" s="9" cm="1">
        <f t="array" ref="E56">_xlfn.IFERROR(VLOOKUP($A56,'liss'!$A$2:$C$56,3,FALSE),0)</f>
        <v>0.02</v>
      </c>
    </row>
    <row r="57" ht="20.05" customHeight="1">
      <c r="A57" s="7">
        <v>5</v>
      </c>
      <c r="B57" s="8" cm="1">
        <f t="array" ref="B57">_xlfn.IFERROR(VLOOKUP($A57,'pop'!$A$2:$C$89,2,FALSE),0)</f>
        <v>289</v>
      </c>
      <c r="C57" s="9" cm="1">
        <f t="array" ref="C57">_xlfn.IFERROR(VLOOKUP($A57,'liss'!$A$2:$C$56,2,FALSE),0)</f>
        <v>0</v>
      </c>
      <c r="D57" s="9" cm="1">
        <f t="array" ref="D57">_xlfn.IFERROR(VLOOKUP($A57,'pop'!$A$2:$C$89,3,FALSE),0)</f>
        <v>0</v>
      </c>
      <c r="E57" s="9" cm="1">
        <f t="array" ref="E57">_xlfn.IFERROR(VLOOKUP($A57,'liss'!$A$2:$C$56,3,FALSE),0)</f>
        <v>0</v>
      </c>
    </row>
    <row r="58" ht="20.05" customHeight="1">
      <c r="A58" s="7">
        <v>57</v>
      </c>
      <c r="B58" s="8" cm="1">
        <f t="array" ref="B58">_xlfn.IFERROR(VLOOKUP($A58,'pop'!$A$2:$C$89,2,FALSE),0)</f>
        <v>241</v>
      </c>
      <c r="C58" s="9" cm="1">
        <f t="array" ref="C58">_xlfn.IFERROR(VLOOKUP($A58,'liss'!$A$2:$C$56,2,FALSE),0)</f>
        <v>11</v>
      </c>
      <c r="D58" s="9" cm="1">
        <f t="array" ref="D58">_xlfn.IFERROR(VLOOKUP($A58,'pop'!$A$2:$C$89,3,FALSE),0)</f>
        <v>0</v>
      </c>
      <c r="E58" s="9" cm="1">
        <f t="array" ref="E58">_xlfn.IFERROR(VLOOKUP($A58,'liss'!$A$2:$C$56,3,FALSE),0)</f>
        <v>0.1</v>
      </c>
    </row>
    <row r="59" ht="20.05" customHeight="1">
      <c r="A59" s="7">
        <v>27</v>
      </c>
      <c r="B59" s="8" cm="1">
        <f t="array" ref="B59">_xlfn.IFERROR(VLOOKUP($A59,'pop'!$A$2:$C$89,2,FALSE),0)</f>
        <v>200</v>
      </c>
      <c r="C59" s="9" cm="1">
        <f t="array" ref="C59">_xlfn.IFERROR(VLOOKUP($A59,'liss'!$A$2:$C$56,2,FALSE),0)</f>
        <v>0</v>
      </c>
      <c r="D59" s="9" cm="1">
        <f t="array" ref="D59">_xlfn.IFERROR(VLOOKUP($A59,'pop'!$A$2:$C$89,3,FALSE),0)</f>
        <v>0</v>
      </c>
      <c r="E59" s="9" cm="1">
        <f t="array" ref="E59">_xlfn.IFERROR(VLOOKUP($A59,'liss'!$A$2:$C$56,3,FALSE),0)</f>
        <v>0</v>
      </c>
    </row>
    <row r="60" ht="20.05" customHeight="1">
      <c r="A60" s="7">
        <v>26</v>
      </c>
      <c r="B60" s="8" cm="1">
        <f t="array" ref="B60">_xlfn.IFERROR(VLOOKUP($A60,'pop'!$A$2:$C$89,2,FALSE),0)</f>
        <v>196</v>
      </c>
      <c r="C60" s="9" cm="1">
        <f t="array" ref="C60">_xlfn.IFERROR(VLOOKUP($A60,'liss'!$A$2:$C$56,2,FALSE),0)</f>
        <v>0</v>
      </c>
      <c r="D60" s="9" cm="1">
        <f t="array" ref="D60">_xlfn.IFERROR(VLOOKUP($A60,'pop'!$A$2:$C$89,3,FALSE),0)</f>
        <v>0</v>
      </c>
      <c r="E60" s="9" cm="1">
        <f t="array" ref="E60">_xlfn.IFERROR(VLOOKUP($A60,'liss'!$A$2:$C$56,3,FALSE),0)</f>
        <v>0</v>
      </c>
    </row>
    <row r="61" ht="20.05" customHeight="1">
      <c r="A61" s="7">
        <v>25</v>
      </c>
      <c r="B61" s="8" cm="1">
        <f t="array" ref="B61">_xlfn.IFERROR(VLOOKUP($A61,'pop'!$A$2:$C$89,2,FALSE),0)</f>
        <v>188</v>
      </c>
      <c r="C61" s="9" cm="1">
        <f t="array" ref="C61">_xlfn.IFERROR(VLOOKUP($A61,'liss'!$A$2:$C$56,2,FALSE),0)</f>
        <v>0</v>
      </c>
      <c r="D61" s="9" cm="1">
        <f t="array" ref="D61">_xlfn.IFERROR(VLOOKUP($A61,'pop'!$A$2:$C$89,3,FALSE),0)</f>
        <v>0</v>
      </c>
      <c r="E61" s="9" cm="1">
        <f t="array" ref="E61">_xlfn.IFERROR(VLOOKUP($A61,'liss'!$A$2:$C$56,3,FALSE),0)</f>
        <v>0</v>
      </c>
    </row>
    <row r="62" ht="20.05" customHeight="1">
      <c r="A62" s="7">
        <v>45</v>
      </c>
      <c r="B62" s="8" cm="1">
        <f t="array" ref="B62">_xlfn.IFERROR(VLOOKUP($A62,'pop'!$A$2:$C$89,2,FALSE),0)</f>
        <v>156</v>
      </c>
      <c r="C62" s="9" cm="1">
        <f t="array" ref="C62">_xlfn.IFERROR(VLOOKUP($A62,'liss'!$A$2:$C$56,2,FALSE),0)</f>
        <v>0</v>
      </c>
      <c r="D62" s="9" cm="1">
        <f t="array" ref="D62">_xlfn.IFERROR(VLOOKUP($A62,'pop'!$A$2:$C$89,3,FALSE),0)</f>
        <v>0</v>
      </c>
      <c r="E62" s="9" cm="1">
        <f t="array" ref="E62">_xlfn.IFERROR(VLOOKUP($A62,'liss'!$A$2:$C$56,3,FALSE),0)</f>
        <v>0</v>
      </c>
    </row>
    <row r="63" ht="20.05" customHeight="1">
      <c r="A63" s="7">
        <v>44</v>
      </c>
      <c r="B63" s="8" cm="1">
        <f t="array" ref="B63">_xlfn.IFERROR(VLOOKUP($A63,'pop'!$A$2:$C$89,2,FALSE),0)</f>
        <v>118</v>
      </c>
      <c r="C63" s="9" cm="1">
        <f t="array" ref="C63">_xlfn.IFERROR(VLOOKUP($A63,'liss'!$A$2:$C$56,2,FALSE),0)</f>
        <v>0</v>
      </c>
      <c r="D63" s="9" cm="1">
        <f t="array" ref="D63">_xlfn.IFERROR(VLOOKUP($A63,'pop'!$A$2:$C$89,3,FALSE),0)</f>
        <v>0</v>
      </c>
      <c r="E63" s="9" cm="1">
        <f t="array" ref="E63">_xlfn.IFERROR(VLOOKUP($A63,'liss'!$A$2:$C$56,3,FALSE),0)</f>
        <v>0</v>
      </c>
    </row>
    <row r="64" ht="20.05" customHeight="1">
      <c r="A64" s="7">
        <v>30</v>
      </c>
      <c r="B64" s="8" cm="1">
        <f t="array" ref="B64">_xlfn.IFERROR(VLOOKUP($A64,'pop'!$A$2:$C$89,2,FALSE),0)</f>
        <v>110</v>
      </c>
      <c r="C64" s="9" cm="1">
        <f t="array" ref="C64">_xlfn.IFERROR(VLOOKUP($A64,'liss'!$A$2:$C$56,2,FALSE),0)</f>
        <v>0</v>
      </c>
      <c r="D64" s="9" cm="1">
        <f t="array" ref="D64">_xlfn.IFERROR(VLOOKUP($A64,'pop'!$A$2:$C$89,3,FALSE),0)</f>
        <v>0</v>
      </c>
      <c r="E64" s="9" cm="1">
        <f t="array" ref="E64">_xlfn.IFERROR(VLOOKUP($A64,'liss'!$A$2:$C$56,3,FALSE),0)</f>
        <v>0</v>
      </c>
    </row>
    <row r="65" ht="20.05" customHeight="1">
      <c r="A65" s="7">
        <v>55</v>
      </c>
      <c r="B65" s="8" cm="1">
        <f t="array" ref="B65">_xlfn.IFERROR(VLOOKUP($A65,'pop'!$A$2:$C$89,2,FALSE),0)</f>
        <v>79</v>
      </c>
      <c r="C65" s="9" cm="1">
        <f t="array" ref="C65">_xlfn.IFERROR(VLOOKUP($A65,'liss'!$A$2:$C$56,2,FALSE),0)</f>
        <v>0</v>
      </c>
      <c r="D65" s="9" cm="1">
        <f t="array" ref="D65">_xlfn.IFERROR(VLOOKUP($A65,'pop'!$A$2:$C$89,3,FALSE),0)</f>
        <v>0</v>
      </c>
      <c r="E65" s="9" cm="1">
        <f t="array" ref="E65">_xlfn.IFERROR(VLOOKUP($A65,'liss'!$A$2:$C$56,3,FALSE),0)</f>
        <v>0</v>
      </c>
    </row>
    <row r="66" ht="20.05" customHeight="1">
      <c r="A66" s="7">
        <v>51</v>
      </c>
      <c r="B66" s="8" cm="1">
        <f t="array" ref="B66">_xlfn.IFERROR(VLOOKUP($A66,'pop'!$A$2:$C$89,2,FALSE),0)</f>
        <v>43</v>
      </c>
      <c r="C66" s="9" cm="1">
        <f t="array" ref="C66">_xlfn.IFERROR(VLOOKUP($A66,'liss'!$A$2:$C$56,2,FALSE),0)</f>
        <v>0</v>
      </c>
      <c r="D66" s="9" cm="1">
        <f t="array" ref="D66">_xlfn.IFERROR(VLOOKUP($A66,'pop'!$A$2:$C$89,3,FALSE),0)</f>
        <v>0</v>
      </c>
      <c r="E66" s="9" cm="1">
        <f t="array" ref="E66">_xlfn.IFERROR(VLOOKUP($A66,'liss'!$A$2:$C$56,3,FALSE),0)</f>
        <v>0</v>
      </c>
    </row>
    <row r="67" ht="20.05" customHeight="1">
      <c r="A67" s="7">
        <v>96</v>
      </c>
      <c r="B67" s="8" cm="1">
        <f t="array" ref="B67">_xlfn.IFERROR(VLOOKUP($A67,'pop'!$A$2:$C$89,2,FALSE),0)</f>
        <v>33</v>
      </c>
      <c r="C67" s="9" cm="1">
        <f t="array" ref="C67">_xlfn.IFERROR(VLOOKUP($A67,'liss'!$A$2:$C$56,2,FALSE),0)</f>
        <v>0</v>
      </c>
      <c r="D67" s="9" cm="1">
        <f t="array" ref="D67">_xlfn.IFERROR(VLOOKUP($A67,'pop'!$A$2:$C$89,3,FALSE),0)</f>
        <v>0</v>
      </c>
      <c r="E67" s="9" cm="1">
        <f t="array" ref="E67">_xlfn.IFERROR(VLOOKUP($A67,'liss'!$A$2:$C$56,3,FALSE),0)</f>
        <v>0</v>
      </c>
    </row>
    <row r="68" ht="20.05" customHeight="1">
      <c r="A68" s="7">
        <v>6</v>
      </c>
      <c r="B68" s="8" cm="1">
        <f t="array" ref="B68">_xlfn.IFERROR(VLOOKUP($A68,'pop'!$A$2:$C$89,2,FALSE),0)</f>
        <v>32</v>
      </c>
      <c r="C68" s="9" cm="1">
        <f t="array" ref="C68">_xlfn.IFERROR(VLOOKUP($A68,'liss'!$A$2:$C$56,2,FALSE),0)</f>
        <v>0</v>
      </c>
      <c r="D68" s="9" cm="1">
        <f t="array" ref="D68">_xlfn.IFERROR(VLOOKUP($A68,'pop'!$A$2:$C$89,3,FALSE),0)</f>
        <v>0</v>
      </c>
      <c r="E68" s="9" cm="1">
        <f t="array" ref="E68">_xlfn.IFERROR(VLOOKUP($A68,'liss'!$A$2:$C$56,3,FALSE),0)</f>
        <v>0</v>
      </c>
    </row>
    <row r="69" ht="20.05" customHeight="1">
      <c r="A69" s="7">
        <v>60</v>
      </c>
      <c r="B69" s="8" cm="1">
        <f t="array" ref="B69">_xlfn.IFERROR(VLOOKUP($A69,'pop'!$A$2:$C$89,2,FALSE),0)</f>
        <v>26</v>
      </c>
      <c r="C69" s="9" cm="1">
        <f t="array" ref="C69">_xlfn.IFERROR(VLOOKUP($A69,'liss'!$A$2:$C$56,2,FALSE),0)</f>
        <v>1</v>
      </c>
      <c r="D69" s="9" cm="1">
        <f t="array" ref="D69">_xlfn.IFERROR(VLOOKUP($A69,'pop'!$A$2:$C$89,3,FALSE),0)</f>
        <v>0</v>
      </c>
      <c r="E69" s="9" cm="1">
        <f t="array" ref="E69">_xlfn.IFERROR(VLOOKUP($A69,'liss'!$A$2:$C$56,3,FALSE),0)</f>
        <v>0.01</v>
      </c>
    </row>
    <row r="70" ht="20.05" customHeight="1">
      <c r="A70" s="7">
        <v>61</v>
      </c>
      <c r="B70" s="8" cm="1">
        <f t="array" ref="B70">_xlfn.IFERROR(VLOOKUP($A70,'pop'!$A$2:$C$89,2,FALSE),0)</f>
        <v>22</v>
      </c>
      <c r="C70" s="9" cm="1">
        <f t="array" ref="C70">_xlfn.IFERROR(VLOOKUP($A70,'liss'!$A$2:$C$56,2,FALSE),0)</f>
        <v>1</v>
      </c>
      <c r="D70" s="9" cm="1">
        <f t="array" ref="D70">_xlfn.IFERROR(VLOOKUP($A70,'pop'!$A$2:$C$89,3,FALSE),0)</f>
        <v>0</v>
      </c>
      <c r="E70" s="9" cm="1">
        <f t="array" ref="E70">_xlfn.IFERROR(VLOOKUP($A70,'liss'!$A$2:$C$56,3,FALSE),0)</f>
        <v>0.01</v>
      </c>
    </row>
    <row r="71" ht="20.05" customHeight="1">
      <c r="A71" s="7">
        <v>52</v>
      </c>
      <c r="B71" s="8" cm="1">
        <f t="array" ref="B71">_xlfn.IFERROR(VLOOKUP($A71,'pop'!$A$2:$C$89,2,FALSE),0)</f>
        <v>21</v>
      </c>
      <c r="C71" s="9" cm="1">
        <f t="array" ref="C71">_xlfn.IFERROR(VLOOKUP($A71,'liss'!$A$2:$C$56,2,FALSE),0)</f>
        <v>0</v>
      </c>
      <c r="D71" s="9" cm="1">
        <f t="array" ref="D71">_xlfn.IFERROR(VLOOKUP($A71,'pop'!$A$2:$C$89,3,FALSE),0)</f>
        <v>0</v>
      </c>
      <c r="E71" s="9" cm="1">
        <f t="array" ref="E71">_xlfn.IFERROR(VLOOKUP($A71,'liss'!$A$2:$C$56,3,FALSE),0)</f>
        <v>0</v>
      </c>
    </row>
    <row r="72" ht="20.05" customHeight="1">
      <c r="A72" s="7">
        <v>72</v>
      </c>
      <c r="B72" s="8" cm="1">
        <f t="array" ref="B72">_xlfn.IFERROR(VLOOKUP($A72,'pop'!$A$2:$C$89,2,FALSE),0)</f>
        <v>19</v>
      </c>
      <c r="C72" s="9" cm="1">
        <f t="array" ref="C72">_xlfn.IFERROR(VLOOKUP($A72,'liss'!$A$2:$C$56,2,FALSE),0)</f>
        <v>0</v>
      </c>
      <c r="D72" s="9" cm="1">
        <f t="array" ref="D72">_xlfn.IFERROR(VLOOKUP($A72,'pop'!$A$2:$C$89,3,FALSE),0)</f>
        <v>0</v>
      </c>
      <c r="E72" s="9" cm="1">
        <f t="array" ref="E72">_xlfn.IFERROR(VLOOKUP($A72,'liss'!$A$2:$C$56,3,FALSE),0)</f>
        <v>0</v>
      </c>
    </row>
    <row r="73" ht="20.05" customHeight="1">
      <c r="A73" s="7">
        <v>21</v>
      </c>
      <c r="B73" s="8" cm="1">
        <f t="array" ref="B73">_xlfn.IFERROR(VLOOKUP($A73,'pop'!$A$2:$C$89,2,FALSE),0)</f>
        <v>18</v>
      </c>
      <c r="C73" s="9" cm="1">
        <f t="array" ref="C73">_xlfn.IFERROR(VLOOKUP($A73,'liss'!$A$2:$C$56,2,FALSE),0)</f>
        <v>0</v>
      </c>
      <c r="D73" s="9" cm="1">
        <f t="array" ref="D73">_xlfn.IFERROR(VLOOKUP($A73,'pop'!$A$2:$C$89,3,FALSE),0)</f>
        <v>0</v>
      </c>
      <c r="E73" s="9" cm="1">
        <f t="array" ref="E73">_xlfn.IFERROR(VLOOKUP($A73,'liss'!$A$2:$C$56,3,FALSE),0)</f>
        <v>0</v>
      </c>
    </row>
    <row r="74" ht="20.05" customHeight="1">
      <c r="A74" s="7">
        <v>81</v>
      </c>
      <c r="B74" s="8" cm="1">
        <f t="array" ref="B74">_xlfn.IFERROR(VLOOKUP($A74,'pop'!$A$2:$C$89,2,FALSE),0)</f>
        <v>17</v>
      </c>
      <c r="C74" s="9" cm="1">
        <f t="array" ref="C74">_xlfn.IFERROR(VLOOKUP($A74,'liss'!$A$2:$C$56,2,FALSE),0)</f>
        <v>0</v>
      </c>
      <c r="D74" s="9" cm="1">
        <f t="array" ref="D74">_xlfn.IFERROR(VLOOKUP($A74,'pop'!$A$2:$C$89,3,FALSE),0)</f>
        <v>0</v>
      </c>
      <c r="E74" s="9" cm="1">
        <f t="array" ref="E74">_xlfn.IFERROR(VLOOKUP($A74,'liss'!$A$2:$C$56,3,FALSE),0)</f>
        <v>0</v>
      </c>
    </row>
    <row r="75" ht="20.05" customHeight="1">
      <c r="A75" s="7">
        <v>64</v>
      </c>
      <c r="B75" s="8" cm="1">
        <f t="array" ref="B75">_xlfn.IFERROR(VLOOKUP($A75,'pop'!$A$2:$C$89,2,FALSE),0)</f>
        <v>15</v>
      </c>
      <c r="C75" s="9" cm="1">
        <f t="array" ref="C75">_xlfn.IFERROR(VLOOKUP($A75,'liss'!$A$2:$C$56,2,FALSE),0)</f>
        <v>0</v>
      </c>
      <c r="D75" s="9" cm="1">
        <f t="array" ref="D75">_xlfn.IFERROR(VLOOKUP($A75,'pop'!$A$2:$C$89,3,FALSE),0)</f>
        <v>0</v>
      </c>
      <c r="E75" s="9" cm="1">
        <f t="array" ref="E75">_xlfn.IFERROR(VLOOKUP($A75,'liss'!$A$2:$C$56,3,FALSE),0)</f>
        <v>0</v>
      </c>
    </row>
    <row r="76" ht="20.05" customHeight="1">
      <c r="A76" s="7">
        <v>83</v>
      </c>
      <c r="B76" s="8" cm="1">
        <f t="array" ref="B76">_xlfn.IFERROR(VLOOKUP($A76,'pop'!$A$2:$C$89,2,FALSE),0)</f>
        <v>8</v>
      </c>
      <c r="C76" s="9" cm="1">
        <f t="array" ref="C76">_xlfn.IFERROR(VLOOKUP($A76,'liss'!$A$2:$C$56,2,FALSE),0)</f>
        <v>0</v>
      </c>
      <c r="D76" s="9" cm="1">
        <f t="array" ref="D76">_xlfn.IFERROR(VLOOKUP($A76,'pop'!$A$2:$C$89,3,FALSE),0)</f>
        <v>0</v>
      </c>
      <c r="E76" s="9" cm="1">
        <f t="array" ref="E76">_xlfn.IFERROR(VLOOKUP($A76,'liss'!$A$2:$C$56,3,FALSE),0)</f>
        <v>0</v>
      </c>
    </row>
    <row r="77" ht="20.05" customHeight="1">
      <c r="A77" s="7">
        <v>53</v>
      </c>
      <c r="B77" s="8" cm="1">
        <f t="array" ref="B77">_xlfn.IFERROR(VLOOKUP($A77,'pop'!$A$2:$C$89,2,FALSE),0)</f>
        <v>7</v>
      </c>
      <c r="C77" s="9" cm="1">
        <f t="array" ref="C77">_xlfn.IFERROR(VLOOKUP($A77,'liss'!$A$2:$C$56,2,FALSE),0)</f>
        <v>0</v>
      </c>
      <c r="D77" s="9" cm="1">
        <f t="array" ref="D77">_xlfn.IFERROR(VLOOKUP($A77,'pop'!$A$2:$C$89,3,FALSE),0)</f>
        <v>0</v>
      </c>
      <c r="E77" s="9" cm="1">
        <f t="array" ref="E77">_xlfn.IFERROR(VLOOKUP($A77,'liss'!$A$2:$C$56,3,FALSE),0)</f>
        <v>0</v>
      </c>
    </row>
    <row r="78" ht="20.05" customHeight="1">
      <c r="A78" s="7">
        <v>35</v>
      </c>
      <c r="B78" s="8" cm="1">
        <f t="array" ref="B78">_xlfn.IFERROR(VLOOKUP($A78,'pop'!$A$2:$C$89,2,FALSE),0)</f>
        <v>6</v>
      </c>
      <c r="C78" s="9" cm="1">
        <f t="array" ref="C78">_xlfn.IFERROR(VLOOKUP($A78,'liss'!$A$2:$C$56,2,FALSE),0)</f>
        <v>0</v>
      </c>
      <c r="D78" s="9" cm="1">
        <f t="array" ref="D78">_xlfn.IFERROR(VLOOKUP($A78,'pop'!$A$2:$C$89,3,FALSE),0)</f>
        <v>0</v>
      </c>
      <c r="E78" s="9" cm="1">
        <f t="array" ref="E78">_xlfn.IFERROR(VLOOKUP($A78,'liss'!$A$2:$C$56,3,FALSE),0)</f>
        <v>0</v>
      </c>
    </row>
    <row r="79" ht="20.05" customHeight="1">
      <c r="A79" s="7">
        <v>34</v>
      </c>
      <c r="B79" s="8" cm="1">
        <f t="array" ref="B79">_xlfn.IFERROR(VLOOKUP($A79,'pop'!$A$2:$C$89,2,FALSE),0)</f>
        <v>5</v>
      </c>
      <c r="C79" s="9" cm="1">
        <f t="array" ref="C79">_xlfn.IFERROR(VLOOKUP($A79,'liss'!$A$2:$C$56,2,FALSE),0)</f>
        <v>0</v>
      </c>
      <c r="D79" s="9" cm="1">
        <f t="array" ref="D79">_xlfn.IFERROR(VLOOKUP($A79,'pop'!$A$2:$C$89,3,FALSE),0)</f>
        <v>0</v>
      </c>
      <c r="E79" s="9" cm="1">
        <f t="array" ref="E79">_xlfn.IFERROR(VLOOKUP($A79,'liss'!$A$2:$C$56,3,FALSE),0)</f>
        <v>0</v>
      </c>
    </row>
    <row r="80" ht="20.05" customHeight="1">
      <c r="A80" s="7">
        <v>54</v>
      </c>
      <c r="B80" s="8" cm="1">
        <f t="array" ref="B80">_xlfn.IFERROR(VLOOKUP($A80,'pop'!$A$2:$C$89,2,FALSE),0)</f>
        <v>5</v>
      </c>
      <c r="C80" s="9" cm="1">
        <f t="array" ref="C80">_xlfn.IFERROR(VLOOKUP($A80,'liss'!$A$2:$C$56,2,FALSE),0)</f>
        <v>0</v>
      </c>
      <c r="D80" s="9" cm="1">
        <f t="array" ref="D80">_xlfn.IFERROR(VLOOKUP($A80,'pop'!$A$2:$C$89,3,FALSE),0)</f>
        <v>0</v>
      </c>
      <c r="E80" s="9" cm="1">
        <f t="array" ref="E80">_xlfn.IFERROR(VLOOKUP($A80,'liss'!$A$2:$C$56,3,FALSE),0)</f>
        <v>0</v>
      </c>
    </row>
    <row r="81" ht="20.05" customHeight="1">
      <c r="A81" s="7">
        <v>59</v>
      </c>
      <c r="B81" s="8" cm="1">
        <f t="array" ref="B81">_xlfn.IFERROR(VLOOKUP($A81,'pop'!$A$2:$C$89,2,FALSE),0)</f>
        <v>5</v>
      </c>
      <c r="C81" s="9" cm="1">
        <f t="array" ref="C81">_xlfn.IFERROR(VLOOKUP($A81,'liss'!$A$2:$C$56,2,FALSE),0)</f>
        <v>0</v>
      </c>
      <c r="D81" s="9" cm="1">
        <f t="array" ref="D81">_xlfn.IFERROR(VLOOKUP($A81,'pop'!$A$2:$C$89,3,FALSE),0)</f>
        <v>0</v>
      </c>
      <c r="E81" s="9" cm="1">
        <f t="array" ref="E81">_xlfn.IFERROR(VLOOKUP($A81,'liss'!$A$2:$C$56,3,FALSE),0)</f>
        <v>0</v>
      </c>
    </row>
    <row r="82" ht="20.05" customHeight="1">
      <c r="A82" s="7">
        <v>70</v>
      </c>
      <c r="B82" s="8" cm="1">
        <f t="array" ref="B82">_xlfn.IFERROR(VLOOKUP($A82,'pop'!$A$2:$C$89,2,FALSE),0)</f>
        <v>4</v>
      </c>
      <c r="C82" s="9" cm="1">
        <f t="array" ref="C82">_xlfn.IFERROR(VLOOKUP($A82,'liss'!$A$2:$C$56,2,FALSE),0)</f>
        <v>0</v>
      </c>
      <c r="D82" s="9" cm="1">
        <f t="array" ref="D82">_xlfn.IFERROR(VLOOKUP($A82,'pop'!$A$2:$C$89,3,FALSE),0)</f>
        <v>0</v>
      </c>
      <c r="E82" s="9" cm="1">
        <f t="array" ref="E82">_xlfn.IFERROR(VLOOKUP($A82,'liss'!$A$2:$C$56,3,FALSE),0)</f>
        <v>0</v>
      </c>
    </row>
    <row r="83" ht="20.05" customHeight="1">
      <c r="A83" s="7">
        <v>69</v>
      </c>
      <c r="B83" s="8" cm="1">
        <f t="array" ref="B83">_xlfn.IFERROR(VLOOKUP($A83,'pop'!$A$2:$C$89,2,FALSE),0)</f>
        <v>3</v>
      </c>
      <c r="C83" s="9" cm="1">
        <f t="array" ref="C83">_xlfn.IFERROR(VLOOKUP($A83,'liss'!$A$2:$C$56,2,FALSE),0)</f>
        <v>0</v>
      </c>
      <c r="D83" s="9" cm="1">
        <f t="array" ref="D83">_xlfn.IFERROR(VLOOKUP($A83,'pop'!$A$2:$C$89,3,FALSE),0)</f>
        <v>0</v>
      </c>
      <c r="E83" s="9" cm="1">
        <f t="array" ref="E83">_xlfn.IFERROR(VLOOKUP($A83,'liss'!$A$2:$C$56,3,FALSE),0)</f>
        <v>0</v>
      </c>
    </row>
    <row r="84" ht="20.05" customHeight="1">
      <c r="A84" s="7">
        <v>97</v>
      </c>
      <c r="B84" s="8" cm="1">
        <f t="array" ref="B84">_xlfn.IFERROR(VLOOKUP($A84,'pop'!$A$2:$C$89,2,FALSE),0)</f>
        <v>3</v>
      </c>
      <c r="C84" s="9" cm="1">
        <f t="array" ref="C84">_xlfn.IFERROR(VLOOKUP($A84,'liss'!$A$2:$C$56,2,FALSE),0)</f>
        <v>0</v>
      </c>
      <c r="D84" s="9" cm="1">
        <f t="array" ref="D84">_xlfn.IFERROR(VLOOKUP($A84,'pop'!$A$2:$C$89,3,FALSE),0)</f>
        <v>0</v>
      </c>
      <c r="E84" s="9" cm="1">
        <f t="array" ref="E84">_xlfn.IFERROR(VLOOKUP($A84,'liss'!$A$2:$C$56,3,FALSE),0)</f>
        <v>0</v>
      </c>
    </row>
    <row r="85" ht="20.05" customHeight="1">
      <c r="A85" s="7">
        <v>32</v>
      </c>
      <c r="B85" s="8" cm="1">
        <f t="array" ref="B85">_xlfn.IFERROR(VLOOKUP($A85,'pop'!$A$2:$C$89,2,FALSE),0)</f>
        <v>2</v>
      </c>
      <c r="C85" s="9" cm="1">
        <f t="array" ref="C85">_xlfn.IFERROR(VLOOKUP($A85,'liss'!$A$2:$C$56,2,FALSE),0)</f>
        <v>0</v>
      </c>
      <c r="D85" s="9" cm="1">
        <f t="array" ref="D85">_xlfn.IFERROR(VLOOKUP($A85,'pop'!$A$2:$C$89,3,FALSE),0)</f>
        <v>0</v>
      </c>
      <c r="E85" s="9" cm="1">
        <f t="array" ref="E85">_xlfn.IFERROR(VLOOKUP($A85,'liss'!$A$2:$C$56,3,FALSE),0)</f>
        <v>0</v>
      </c>
    </row>
    <row r="86" ht="20.05" customHeight="1">
      <c r="A86" s="7">
        <v>42</v>
      </c>
      <c r="B86" s="8" cm="1">
        <f t="array" ref="B86">_xlfn.IFERROR(VLOOKUP($A86,'pop'!$A$2:$C$89,2,FALSE),0)</f>
        <v>2</v>
      </c>
      <c r="C86" s="9" cm="1">
        <f t="array" ref="C86">_xlfn.IFERROR(VLOOKUP($A86,'liss'!$A$2:$C$56,2,FALSE),0)</f>
        <v>0</v>
      </c>
      <c r="D86" s="9" cm="1">
        <f t="array" ref="D86">_xlfn.IFERROR(VLOOKUP($A86,'pop'!$A$2:$C$89,3,FALSE),0)</f>
        <v>0</v>
      </c>
      <c r="E86" s="9" cm="1">
        <f t="array" ref="E86">_xlfn.IFERROR(VLOOKUP($A86,'liss'!$A$2:$C$56,3,FALSE),0)</f>
        <v>0</v>
      </c>
    </row>
    <row r="87" ht="20.05" customHeight="1">
      <c r="A87" s="7">
        <v>19</v>
      </c>
      <c r="B87" s="8" cm="1">
        <f t="array" ref="B87">_xlfn.IFERROR(VLOOKUP($A87,'pop'!$A$2:$C$89,2,FALSE),0)</f>
        <v>1</v>
      </c>
      <c r="C87" s="9" cm="1">
        <f t="array" ref="C87">_xlfn.IFERROR(VLOOKUP($A87,'liss'!$A$2:$C$56,2,FALSE),0)</f>
        <v>0</v>
      </c>
      <c r="D87" s="9" cm="1">
        <f t="array" ref="D87">_xlfn.IFERROR(VLOOKUP($A87,'pop'!$A$2:$C$89,3,FALSE),0)</f>
        <v>0</v>
      </c>
      <c r="E87" s="9" cm="1">
        <f t="array" ref="E87">_xlfn.IFERROR(VLOOKUP($A87,'liss'!$A$2:$C$56,3,FALSE),0)</f>
        <v>0</v>
      </c>
    </row>
    <row r="88" ht="20.05" customHeight="1">
      <c r="A88" s="7">
        <v>68</v>
      </c>
      <c r="B88" s="8" cm="1">
        <f t="array" ref="B88">_xlfn.IFERROR(VLOOKUP($A88,'pop'!$A$2:$C$89,2,FALSE),0)</f>
        <v>1</v>
      </c>
      <c r="C88" s="9" cm="1">
        <f t="array" ref="C88">_xlfn.IFERROR(VLOOKUP($A88,'liss'!$A$2:$C$56,2,FALSE),0)</f>
        <v>0</v>
      </c>
      <c r="D88" s="9" cm="1">
        <f t="array" ref="D88">_xlfn.IFERROR(VLOOKUP($A88,'pop'!$A$2:$C$89,3,FALSE),0)</f>
        <v>0</v>
      </c>
      <c r="E88" s="9" cm="1">
        <f t="array" ref="E88">_xlfn.IFERROR(VLOOKUP($A88,'liss'!$A$2:$C$56,3,FALSE),0)</f>
        <v>0</v>
      </c>
    </row>
    <row r="89" ht="20.05" customHeight="1">
      <c r="A89" s="7">
        <v>12</v>
      </c>
      <c r="B89" s="8" cm="1">
        <f t="array" ref="B89">_xlfn.IFERROR(VLOOKUP($A89,'pop'!$A$2:$C$89,2,FALSE),0)</f>
        <v>0</v>
      </c>
      <c r="C89" s="9" cm="1">
        <f t="array" ref="C89">_xlfn.IFERROR(VLOOKUP($A89,'liss'!$A$2:$C$56,2,FALSE),0)</f>
        <v>0</v>
      </c>
      <c r="D89" s="9" cm="1">
        <f t="array" ref="D89">_xlfn.IFERROR(VLOOKUP($A89,'pop'!$A$2:$C$89,3,FALSE),0)</f>
        <v>0</v>
      </c>
      <c r="E89" s="9" cm="1">
        <f t="array" ref="E89">_xlfn.IFERROR(VLOOKUP($A89,'liss'!$A$2:$C$56,3,FALSE),0)</f>
        <v>0</v>
      </c>
    </row>
    <row r="90" ht="20.05" customHeight="1">
      <c r="A90" s="7">
        <v>14</v>
      </c>
      <c r="B90" s="8" cm="1">
        <f t="array" ref="B90">_xlfn.IFERROR(VLOOKUP($A90,'pop'!$A$2:$C$89,2,FALSE),0)</f>
        <v>0</v>
      </c>
      <c r="C90" s="9" cm="1">
        <f t="array" ref="C90">_xlfn.IFERROR(VLOOKUP($A90,'liss'!$A$2:$C$56,2,FALSE),0)</f>
        <v>0</v>
      </c>
      <c r="D90" s="9" cm="1">
        <f t="array" ref="D90">_xlfn.IFERROR(VLOOKUP($A90,'pop'!$A$2:$C$89,3,FALSE),0)</f>
        <v>0</v>
      </c>
      <c r="E90" s="9" cm="1">
        <f t="array" ref="E90">_xlfn.IFERROR(VLOOKUP($A90,'liss'!$A$2:$C$56,3,FALSE),0)</f>
        <v>0</v>
      </c>
    </row>
    <row r="91" ht="20.05" customHeight="1">
      <c r="A91" s="7">
        <v>15</v>
      </c>
      <c r="B91" s="8" cm="1">
        <f t="array" ref="B91">_xlfn.IFERROR(VLOOKUP($A91,'pop'!$A$2:$C$89,2,FALSE),0)</f>
        <v>0</v>
      </c>
      <c r="C91" s="9" cm="1">
        <f t="array" ref="C91">_xlfn.IFERROR(VLOOKUP($A91,'liss'!$A$2:$C$56,2,FALSE),0)</f>
        <v>0</v>
      </c>
      <c r="D91" s="9" cm="1">
        <f t="array" ref="D91">_xlfn.IFERROR(VLOOKUP($A91,'pop'!$A$2:$C$89,3,FALSE),0)</f>
        <v>0</v>
      </c>
      <c r="E91" s="9" cm="1">
        <f t="array" ref="E91">_xlfn.IFERROR(VLOOKUP($A91,'liss'!$A$2:$C$56,3,FALSE),0)</f>
        <v>0</v>
      </c>
    </row>
    <row r="92" ht="20.05" customHeight="1">
      <c r="A92" s="7">
        <v>28</v>
      </c>
      <c r="B92" s="8" cm="1">
        <f t="array" ref="B92">_xlfn.IFERROR(VLOOKUP($A92,'pop'!$A$2:$C$89,2,FALSE),0)</f>
        <v>0</v>
      </c>
      <c r="C92" s="9" cm="1">
        <f t="array" ref="C92">_xlfn.IFERROR(VLOOKUP($A92,'liss'!$A$2:$C$56,2,FALSE),0)</f>
        <v>0</v>
      </c>
      <c r="D92" s="9" cm="1">
        <f t="array" ref="D92">_xlfn.IFERROR(VLOOKUP($A92,'pop'!$A$2:$C$89,3,FALSE),0)</f>
        <v>0</v>
      </c>
      <c r="E92" s="9" cm="1">
        <f t="array" ref="E92">_xlfn.IFERROR(VLOOKUP($A92,'liss'!$A$2:$C$56,3,FALSE),0)</f>
        <v>0</v>
      </c>
    </row>
    <row r="93" ht="20.05" customHeight="1">
      <c r="A93" s="7">
        <v>29</v>
      </c>
      <c r="B93" s="8" cm="1">
        <f t="array" ref="B93">_xlfn.IFERROR(VLOOKUP($A93,'pop'!$A$2:$C$89,2,FALSE),0)</f>
        <v>0</v>
      </c>
      <c r="C93" s="9" cm="1">
        <f t="array" ref="C93">_xlfn.IFERROR(VLOOKUP($A93,'liss'!$A$2:$C$56,2,FALSE),0)</f>
        <v>0</v>
      </c>
      <c r="D93" s="9" cm="1">
        <f t="array" ref="D93">_xlfn.IFERROR(VLOOKUP($A93,'pop'!$A$2:$C$89,3,FALSE),0)</f>
        <v>0</v>
      </c>
      <c r="E93" s="9" cm="1">
        <f t="array" ref="E93">_xlfn.IFERROR(VLOOKUP($A93,'liss'!$A$2:$C$56,3,FALSE),0)</f>
        <v>0</v>
      </c>
    </row>
    <row r="94" ht="20.05" customHeight="1">
      <c r="A94" s="7">
        <v>41</v>
      </c>
      <c r="B94" s="8" cm="1">
        <f t="array" ref="B94">_xlfn.IFERROR(VLOOKUP($A94,'pop'!$A$2:$C$89,2,FALSE),0)</f>
        <v>0</v>
      </c>
      <c r="C94" s="9" cm="1">
        <f t="array" ref="C94">_xlfn.IFERROR(VLOOKUP($A94,'liss'!$A$2:$C$56,2,FALSE),0)</f>
        <v>0</v>
      </c>
      <c r="D94" s="9" cm="1">
        <f t="array" ref="D94">_xlfn.IFERROR(VLOOKUP($A94,'pop'!$A$2:$C$89,3,FALSE),0)</f>
        <v>0</v>
      </c>
      <c r="E94" s="9" cm="1">
        <f t="array" ref="E94">_xlfn.IFERROR(VLOOKUP($A94,'liss'!$A$2:$C$56,3,FALSE),0)</f>
        <v>0</v>
      </c>
    </row>
    <row r="95" ht="20.05" customHeight="1">
      <c r="A95" s="7">
        <v>56</v>
      </c>
      <c r="B95" s="8" cm="1">
        <f t="array" ref="B95">_xlfn.IFERROR(VLOOKUP($A95,'pop'!$A$2:$C$89,2,FALSE),0)</f>
        <v>0</v>
      </c>
      <c r="C95" s="9" cm="1">
        <f t="array" ref="C95">_xlfn.IFERROR(VLOOKUP($A95,'liss'!$A$2:$C$56,2,FALSE),0)</f>
        <v>0</v>
      </c>
      <c r="D95" s="9" cm="1">
        <f t="array" ref="D95">_xlfn.IFERROR(VLOOKUP($A95,'pop'!$A$2:$C$89,3,FALSE),0)</f>
        <v>0</v>
      </c>
      <c r="E95" s="9" cm="1">
        <f t="array" ref="E95">_xlfn.IFERROR(VLOOKUP($A95,'liss'!$A$2:$C$56,3,FALSE),0)</f>
        <v>0</v>
      </c>
    </row>
    <row r="96" ht="20.05" customHeight="1">
      <c r="A96" s="7">
        <v>58</v>
      </c>
      <c r="B96" s="8" cm="1">
        <f t="array" ref="B96">_xlfn.IFERROR(VLOOKUP($A96,'pop'!$A$2:$C$89,2,FALSE),0)</f>
        <v>0</v>
      </c>
      <c r="C96" s="9" cm="1">
        <f t="array" ref="C96">_xlfn.IFERROR(VLOOKUP($A96,'liss'!$A$2:$C$56,2,FALSE),0)</f>
        <v>0</v>
      </c>
      <c r="D96" s="9" cm="1">
        <f t="array" ref="D96">_xlfn.IFERROR(VLOOKUP($A96,'pop'!$A$2:$C$89,3,FALSE),0)</f>
        <v>0</v>
      </c>
      <c r="E96" s="9" cm="1">
        <f t="array" ref="E96">_xlfn.IFERROR(VLOOKUP($A96,'liss'!$A$2:$C$56,3,FALSE),0)</f>
        <v>0</v>
      </c>
    </row>
    <row r="97" ht="20.05" customHeight="1">
      <c r="A97" s="7">
        <v>62</v>
      </c>
      <c r="B97" s="8" cm="1">
        <f t="array" ref="B97">_xlfn.IFERROR(VLOOKUP($A97,'pop'!$A$2:$C$89,2,FALSE),0)</f>
        <v>0</v>
      </c>
      <c r="C97" s="9" cm="1">
        <f t="array" ref="C97">_xlfn.IFERROR(VLOOKUP($A97,'liss'!$A$2:$C$56,2,FALSE),0)</f>
        <v>0</v>
      </c>
      <c r="D97" s="9" cm="1">
        <f t="array" ref="D97">_xlfn.IFERROR(VLOOKUP($A97,'pop'!$A$2:$C$89,3,FALSE),0)</f>
        <v>0</v>
      </c>
      <c r="E97" s="9" cm="1">
        <f t="array" ref="E97">_xlfn.IFERROR(VLOOKUP($A97,'liss'!$A$2:$C$56,3,FALSE),0)</f>
        <v>0</v>
      </c>
    </row>
    <row r="98" ht="20.05" customHeight="1">
      <c r="A98" s="7">
        <v>75</v>
      </c>
      <c r="B98" s="8" cm="1">
        <f t="array" ref="B98">_xlfn.IFERROR(VLOOKUP($A98,'pop'!$A$2:$C$89,2,FALSE),0)</f>
        <v>0</v>
      </c>
      <c r="C98" s="9" cm="1">
        <f t="array" ref="C98">_xlfn.IFERROR(VLOOKUP($A98,'liss'!$A$2:$C$56,2,FALSE),0)</f>
        <v>0</v>
      </c>
      <c r="D98" s="9" cm="1">
        <f t="array" ref="D98">_xlfn.IFERROR(VLOOKUP($A98,'pop'!$A$2:$C$89,3,FALSE),0)</f>
        <v>0</v>
      </c>
      <c r="E98" s="9" cm="1">
        <f t="array" ref="E98">_xlfn.IFERROR(VLOOKUP($A98,'liss'!$A$2:$C$56,3,FALSE),0)</f>
        <v>0</v>
      </c>
    </row>
    <row r="99" ht="20.05" customHeight="1">
      <c r="A99" s="7">
        <v>82</v>
      </c>
      <c r="B99" s="8" cm="1">
        <f t="array" ref="B99">_xlfn.IFERROR(VLOOKUP($A99,'pop'!$A$2:$C$89,2,FALSE),0)</f>
        <v>0</v>
      </c>
      <c r="C99" s="9" cm="1">
        <f t="array" ref="C99">_xlfn.IFERROR(VLOOKUP($A99,'liss'!$A$2:$C$56,2,FALSE),0)</f>
        <v>0</v>
      </c>
      <c r="D99" s="9" cm="1">
        <f t="array" ref="D99">_xlfn.IFERROR(VLOOKUP($A99,'pop'!$A$2:$C$89,3,FALSE),0)</f>
        <v>0</v>
      </c>
      <c r="E99" s="9" cm="1">
        <f t="array" ref="E99">_xlfn.IFERROR(VLOOKUP($A99,'liss'!$A$2:$C$56,3,FALSE),0)</f>
        <v>0</v>
      </c>
    </row>
    <row r="100" ht="20.05" customHeight="1">
      <c r="A100" s="7">
        <v>84</v>
      </c>
      <c r="B100" s="8" cm="1">
        <f t="array" ref="B100">_xlfn.IFERROR(VLOOKUP($A100,'pop'!$A$2:$C$89,2,FALSE),0)</f>
        <v>0</v>
      </c>
      <c r="C100" s="9" cm="1">
        <f t="array" ref="C100">_xlfn.IFERROR(VLOOKUP($A100,'liss'!$A$2:$C$56,2,FALSE),0)</f>
        <v>0</v>
      </c>
      <c r="D100" s="9" cm="1">
        <f t="array" ref="D100">_xlfn.IFERROR(VLOOKUP($A100,'pop'!$A$2:$C$89,3,FALSE),0)</f>
        <v>0</v>
      </c>
      <c r="E100" s="9" cm="1">
        <f t="array" ref="E100">_xlfn.IFERROR(VLOOKUP($A100,'liss'!$A$2:$C$56,3,FALSE),0)</f>
        <v>0</v>
      </c>
    </row>
    <row r="101" ht="20.05" customHeight="1">
      <c r="A101" s="7">
        <v>99</v>
      </c>
      <c r="B101" s="8" cm="1">
        <f t="array" ref="B101">_xlfn.IFERROR(VLOOKUP($A101,'pop'!$A$2:$C$89,2,FALSE),0)</f>
        <v>0</v>
      </c>
      <c r="C101" s="9" cm="1">
        <f t="array" ref="C101">_xlfn.IFERROR(VLOOKUP($A101,'liss'!$A$2:$C$56,2,FALSE),0)</f>
        <v>0</v>
      </c>
      <c r="D101" s="9" cm="1">
        <f t="array" ref="D101">_xlfn.IFERROR(VLOOKUP($A101,'pop'!$A$2:$C$89,3,FALSE),0)</f>
        <v>0</v>
      </c>
      <c r="E101" s="9" cm="1">
        <f t="array" ref="E101">_xlfn.IFERROR(VLOOKUP($A101,'liss'!$A$2:$C$56,3,FALSE),0)</f>
        <v>0</v>
      </c>
    </row>
    <row r="102" ht="20.05" customHeight="1">
      <c r="A102" s="7">
        <v>100</v>
      </c>
      <c r="B102" s="8" cm="1">
        <f t="array" ref="B102">_xlfn.IFERROR(VLOOKUP($A102,'pop'!$A$2:$C$89,2,FALSE),0)</f>
        <v>0</v>
      </c>
      <c r="C102" s="9" cm="1">
        <f t="array" ref="C102">_xlfn.IFERROR(VLOOKUP($A102,'liss'!$A$2:$C$56,2,FALSE),0)</f>
        <v>0</v>
      </c>
      <c r="D102" s="9" cm="1">
        <f t="array" ref="D102">_xlfn.IFERROR(VLOOKUP($A102,'pop'!$A$2:$C$89,3,FALSE),0)</f>
        <v>0</v>
      </c>
      <c r="E102" s="9" cm="1">
        <f t="array" ref="E102">_xlfn.IFERROR(VLOOKUP($A102,'liss'!$A$2:$C$56,3,FALSE),0)</f>
        <v>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8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0" customWidth="1"/>
    <col min="3" max="3" width="15.9062" style="10" customWidth="1"/>
    <col min="4" max="5" width="16.3516" style="10" customWidth="1"/>
    <col min="6" max="16384" width="16.3516" style="10" customWidth="1"/>
  </cols>
  <sheetData>
    <row r="1" ht="27.65" customHeight="1">
      <c r="A1" t="s" s="2">
        <v>6</v>
      </c>
      <c r="B1" s="2"/>
      <c r="C1" s="2"/>
      <c r="D1" s="2"/>
      <c r="E1" s="2"/>
    </row>
    <row r="2" ht="20.25" customHeight="1">
      <c r="A2" t="s" s="11">
        <v>1</v>
      </c>
      <c r="B2" t="s" s="11">
        <v>2</v>
      </c>
      <c r="C2" s="12"/>
      <c r="D2" s="12"/>
      <c r="E2" s="12"/>
    </row>
    <row r="3" ht="20.25" customHeight="1">
      <c r="A3" s="13">
        <v>74</v>
      </c>
      <c r="B3" s="14">
        <v>1213636</v>
      </c>
      <c r="C3" s="15" cm="1">
        <f t="array" ref="C3">ROUND(B3/B$89*100,2)</f>
        <v>19.27</v>
      </c>
      <c r="D3" s="16"/>
      <c r="E3" s="16"/>
    </row>
    <row r="4" ht="20.05" customHeight="1">
      <c r="A4" s="17">
        <v>91</v>
      </c>
      <c r="B4" s="18">
        <v>661452</v>
      </c>
      <c r="C4" s="19" cm="1">
        <f t="array" ref="C4">ROUND(B4/B$89*100,2)</f>
        <v>10.5</v>
      </c>
      <c r="D4" s="20"/>
      <c r="E4" s="20"/>
    </row>
    <row r="5" ht="20.05" customHeight="1">
      <c r="A5" s="17">
        <v>13</v>
      </c>
      <c r="B5" s="18">
        <v>599182</v>
      </c>
      <c r="C5" s="19" cm="1">
        <f t="array" ref="C5">ROUND(B5/B$89*100,2)</f>
        <v>9.51</v>
      </c>
      <c r="D5" s="20"/>
      <c r="E5" s="20"/>
    </row>
    <row r="6" ht="20.05" customHeight="1">
      <c r="A6" s="17">
        <v>71</v>
      </c>
      <c r="B6" s="18">
        <v>588523</v>
      </c>
      <c r="C6" s="19" cm="1">
        <f t="array" ref="C6">ROUND(B6/B$89*100,2)</f>
        <v>9.34</v>
      </c>
      <c r="D6" s="20"/>
      <c r="E6" s="20"/>
    </row>
    <row r="7" ht="20.05" customHeight="1">
      <c r="A7" s="17">
        <v>49</v>
      </c>
      <c r="B7" s="18">
        <v>515545</v>
      </c>
      <c r="C7" s="19" cm="1">
        <f t="array" ref="C7">ROUND(B7/B$89*100,2)</f>
        <v>8.19</v>
      </c>
      <c r="D7" s="20"/>
      <c r="E7" s="20"/>
    </row>
    <row r="8" ht="20.05" customHeight="1">
      <c r="A8" s="17">
        <v>89</v>
      </c>
      <c r="B8" s="18">
        <v>428369</v>
      </c>
      <c r="C8" s="19" cm="1">
        <f t="array" ref="C8">ROUND(B8/B$89*100,2)</f>
        <v>6.8</v>
      </c>
      <c r="D8" s="20"/>
      <c r="E8" s="20"/>
    </row>
    <row r="9" ht="20.05" customHeight="1">
      <c r="A9" s="17">
        <v>92</v>
      </c>
      <c r="B9" s="18">
        <v>420590</v>
      </c>
      <c r="C9" s="19" cm="1">
        <f t="array" ref="C9">ROUND(B9/B$89*100,2)</f>
        <v>6.68</v>
      </c>
      <c r="D9" s="20"/>
      <c r="E9" s="20"/>
    </row>
    <row r="10" ht="20.05" customHeight="1">
      <c r="A10" s="17">
        <v>46</v>
      </c>
      <c r="B10" s="18">
        <v>359648</v>
      </c>
      <c r="C10" s="19" cm="1">
        <f t="array" ref="C10">ROUND(B10/B$89*100,2)</f>
        <v>5.71</v>
      </c>
      <c r="D10" s="20"/>
      <c r="E10" s="20"/>
    </row>
    <row r="11" ht="20.05" customHeight="1">
      <c r="A11" s="17">
        <v>36</v>
      </c>
      <c r="B11" s="18">
        <v>334097</v>
      </c>
      <c r="C11" s="19" cm="1">
        <f t="array" ref="C11">ROUND(B11/B$89*100,2)</f>
        <v>5.3</v>
      </c>
      <c r="D11" s="20"/>
      <c r="E11" s="20"/>
    </row>
    <row r="12" ht="20.05" customHeight="1">
      <c r="A12" s="17">
        <v>22</v>
      </c>
      <c r="B12" s="18">
        <v>163124</v>
      </c>
      <c r="C12" s="19" cm="1">
        <f t="array" ref="C12">ROUND(B12/B$89*100,2)</f>
        <v>2.59</v>
      </c>
      <c r="D12" s="20"/>
      <c r="E12" s="20"/>
    </row>
    <row r="13" ht="20.05" customHeight="1">
      <c r="A13" s="17">
        <v>76</v>
      </c>
      <c r="B13" s="18">
        <v>154595</v>
      </c>
      <c r="C13" s="19" cm="1">
        <f t="array" ref="C13">ROUND(B13/B$89*100,2)</f>
        <v>2.45</v>
      </c>
      <c r="D13" s="20"/>
      <c r="E13" s="20"/>
    </row>
    <row r="14" ht="20.05" customHeight="1">
      <c r="A14" s="17">
        <v>37</v>
      </c>
      <c r="B14" s="18">
        <v>140583</v>
      </c>
      <c r="C14" s="19" cm="1">
        <f t="array" ref="C14">ROUND(B14/B$89*100,2)</f>
        <v>2.23</v>
      </c>
      <c r="D14" s="20"/>
      <c r="E14" s="20"/>
    </row>
    <row r="15" ht="20.05" customHeight="1">
      <c r="A15" s="17">
        <v>48</v>
      </c>
      <c r="B15" s="18">
        <v>110691</v>
      </c>
      <c r="C15" s="19" cm="1">
        <f t="array" ref="C15">ROUND(B15/B$89*100,2)</f>
        <v>1.76</v>
      </c>
      <c r="D15" s="20"/>
      <c r="E15" s="20"/>
    </row>
    <row r="16" ht="20.05" customHeight="1">
      <c r="A16" s="17">
        <v>11</v>
      </c>
      <c r="B16" s="18">
        <v>91090</v>
      </c>
      <c r="C16" s="19" cm="1">
        <f t="array" ref="C16">ROUND(B16/B$89*100,2)</f>
        <v>1.45</v>
      </c>
      <c r="D16" s="20"/>
      <c r="E16" s="20"/>
    </row>
    <row r="17" ht="20.05" customHeight="1">
      <c r="A17" s="17">
        <v>1</v>
      </c>
      <c r="B17" s="18">
        <v>84022</v>
      </c>
      <c r="C17" s="19" cm="1">
        <f t="array" ref="C17">ROUND(B17/B$89*100,2)</f>
        <v>1.33</v>
      </c>
      <c r="D17" s="20"/>
      <c r="E17" s="20"/>
    </row>
    <row r="18" ht="20.05" customHeight="1">
      <c r="A18" s="17">
        <v>87</v>
      </c>
      <c r="B18" s="18">
        <v>61330</v>
      </c>
      <c r="C18" s="19" cm="1">
        <f t="array" ref="C18">ROUND(B18/B$89*100,2)</f>
        <v>0.97</v>
      </c>
      <c r="D18" s="20"/>
      <c r="E18" s="20"/>
    </row>
    <row r="19" ht="20.05" customHeight="1">
      <c r="A19" s="17">
        <v>18</v>
      </c>
      <c r="B19" s="18">
        <v>57766</v>
      </c>
      <c r="C19" s="19" cm="1">
        <f t="array" ref="C19">ROUND(B19/B$89*100,2)</f>
        <v>0.92</v>
      </c>
      <c r="D19" s="20"/>
      <c r="E19" s="20"/>
    </row>
    <row r="20" ht="20.05" customHeight="1">
      <c r="A20" s="17">
        <v>65</v>
      </c>
      <c r="B20" s="18">
        <v>48708</v>
      </c>
      <c r="C20" s="19" cm="1">
        <f t="array" ref="C20">ROUND(B20/B$89*100,2)</f>
        <v>0.77</v>
      </c>
      <c r="D20" s="20"/>
      <c r="E20" s="20"/>
    </row>
    <row r="21" ht="20.05" customHeight="1">
      <c r="A21" s="17">
        <v>23</v>
      </c>
      <c r="B21" s="18">
        <v>47497</v>
      </c>
      <c r="C21" s="19" cm="1">
        <f t="array" ref="C21">ROUND(B21/B$89*100,2)</f>
        <v>0.75</v>
      </c>
      <c r="D21" s="20"/>
      <c r="E21" s="20"/>
    </row>
    <row r="22" ht="20.05" customHeight="1">
      <c r="A22" s="17">
        <v>66</v>
      </c>
      <c r="B22" s="18">
        <v>34587</v>
      </c>
      <c r="C22" s="19" cm="1">
        <f t="array" ref="C22">ROUND(B22/B$89*100,2)</f>
        <v>0.55</v>
      </c>
      <c r="D22" s="20"/>
      <c r="E22" s="20"/>
    </row>
    <row r="23" ht="20.05" customHeight="1">
      <c r="A23" s="17">
        <v>93</v>
      </c>
      <c r="B23" s="18">
        <v>28060</v>
      </c>
      <c r="C23" s="19" cm="1">
        <f t="array" ref="C23">ROUND(B23/B$89*100,2)</f>
        <v>0.45</v>
      </c>
      <c r="D23" s="20"/>
      <c r="E23" s="20"/>
    </row>
    <row r="24" ht="20.05" customHeight="1">
      <c r="A24" s="17">
        <v>85</v>
      </c>
      <c r="B24" s="18">
        <v>12855</v>
      </c>
      <c r="C24" s="19" cm="1">
        <f t="array" ref="C24">ROUND(B24/B$89*100,2)</f>
        <v>0.2</v>
      </c>
      <c r="D24" s="20"/>
      <c r="E24" s="20"/>
    </row>
    <row r="25" ht="20.05" customHeight="1">
      <c r="A25" s="17">
        <v>39</v>
      </c>
      <c r="B25" s="18">
        <v>10828</v>
      </c>
      <c r="C25" s="19" cm="1">
        <f t="array" ref="C25">ROUND(B25/B$89*100,2)</f>
        <v>0.17</v>
      </c>
      <c r="D25" s="20"/>
      <c r="E25" s="20"/>
    </row>
    <row r="26" ht="20.05" customHeight="1">
      <c r="A26" s="17">
        <v>3</v>
      </c>
      <c r="B26" s="18">
        <v>10537</v>
      </c>
      <c r="C26" s="19" cm="1">
        <f t="array" ref="C26">ROUND(B26/B$89*100,2)</f>
        <v>0.17</v>
      </c>
      <c r="D26" s="20"/>
      <c r="E26" s="20"/>
    </row>
    <row r="27" ht="20.05" customHeight="1">
      <c r="A27" s="17">
        <v>43</v>
      </c>
      <c r="B27" s="18">
        <v>9891</v>
      </c>
      <c r="C27" s="19" cm="1">
        <f t="array" ref="C27">ROUND(B27/B$89*100,2)</f>
        <v>0.16</v>
      </c>
      <c r="D27" s="20"/>
      <c r="E27" s="20"/>
    </row>
    <row r="28" ht="20.05" customHeight="1">
      <c r="A28" s="17">
        <v>7</v>
      </c>
      <c r="B28" s="18">
        <v>9405</v>
      </c>
      <c r="C28" s="19" cm="1">
        <f t="array" ref="C28">ROUND(B28/B$89*100,2)</f>
        <v>0.15</v>
      </c>
      <c r="D28" s="20"/>
      <c r="E28" s="20"/>
    </row>
    <row r="29" ht="20.05" customHeight="1">
      <c r="A29" s="17">
        <v>20</v>
      </c>
      <c r="B29" s="18">
        <v>9023</v>
      </c>
      <c r="C29" s="19" cm="1">
        <f t="array" ref="C29">ROUND(B29/B$89*100,2)</f>
        <v>0.14</v>
      </c>
      <c r="D29" s="20"/>
      <c r="E29" s="20"/>
    </row>
    <row r="30" ht="20.05" customHeight="1">
      <c r="A30" s="17">
        <v>8</v>
      </c>
      <c r="B30" s="18">
        <v>8697</v>
      </c>
      <c r="C30" s="19" cm="1">
        <f t="array" ref="C30">ROUND(B30/B$89*100,2)</f>
        <v>0.14</v>
      </c>
      <c r="D30" s="20"/>
      <c r="E30" s="20"/>
    </row>
    <row r="31" ht="20.05" customHeight="1">
      <c r="A31" s="17">
        <v>86</v>
      </c>
      <c r="B31" s="18">
        <v>9341</v>
      </c>
      <c r="C31" s="19" cm="1">
        <f t="array" ref="C31">ROUND(B31/B$89*100,2)</f>
        <v>0.15</v>
      </c>
      <c r="D31" s="20"/>
      <c r="E31" s="20"/>
    </row>
    <row r="32" ht="20.05" customHeight="1">
      <c r="A32" s="17">
        <v>90</v>
      </c>
      <c r="B32" s="18">
        <v>8103</v>
      </c>
      <c r="C32" s="19" cm="1">
        <f t="array" ref="C32">ROUND(B32/B$89*100,2)</f>
        <v>0.13</v>
      </c>
      <c r="D32" s="20"/>
      <c r="E32" s="20"/>
    </row>
    <row r="33" ht="20.05" customHeight="1">
      <c r="A33" s="17">
        <v>40</v>
      </c>
      <c r="B33" s="18">
        <v>7286</v>
      </c>
      <c r="C33" s="19" cm="1">
        <f t="array" ref="C33">ROUND(B33/B$89*100,2)</f>
        <v>0.12</v>
      </c>
      <c r="D33" s="20"/>
      <c r="E33" s="20"/>
    </row>
    <row r="34" ht="20.05" customHeight="1">
      <c r="A34" s="17">
        <v>79</v>
      </c>
      <c r="B34" s="18">
        <v>7020</v>
      </c>
      <c r="C34" s="19" cm="1">
        <f t="array" ref="C34">ROUND(B34/B$89*100,2)</f>
        <v>0.11</v>
      </c>
      <c r="D34" s="20"/>
      <c r="E34" s="20"/>
    </row>
    <row r="35" ht="20.05" customHeight="1">
      <c r="A35" s="17">
        <v>95</v>
      </c>
      <c r="B35" s="18">
        <v>6836</v>
      </c>
      <c r="C35" s="19" cm="1">
        <f t="array" ref="C35">ROUND(B35/B$89*100,2)</f>
        <v>0.11</v>
      </c>
      <c r="D35" s="20"/>
      <c r="E35" s="20"/>
    </row>
    <row r="36" ht="20.05" customHeight="1">
      <c r="A36" s="17">
        <v>10</v>
      </c>
      <c r="B36" s="18">
        <v>6108</v>
      </c>
      <c r="C36" s="19" cm="1">
        <f t="array" ref="C36">ROUND(B36/B$89*100,2)</f>
        <v>0.1</v>
      </c>
      <c r="D36" s="20"/>
      <c r="E36" s="20"/>
    </row>
    <row r="37" ht="20.05" customHeight="1">
      <c r="A37" s="17">
        <v>33</v>
      </c>
      <c r="B37" s="18">
        <v>5464</v>
      </c>
      <c r="C37" s="19" cm="1">
        <f t="array" ref="C37">ROUND(B37/B$89*100,2)</f>
        <v>0.09</v>
      </c>
      <c r="D37" s="20"/>
      <c r="E37" s="20"/>
    </row>
    <row r="38" ht="20.05" customHeight="1">
      <c r="A38" s="17">
        <v>80</v>
      </c>
      <c r="B38" s="18">
        <v>3865</v>
      </c>
      <c r="C38" s="19" cm="1">
        <f t="array" ref="C38">ROUND(B38/B$89*100,2)</f>
        <v>0.06</v>
      </c>
      <c r="D38" s="20"/>
      <c r="E38" s="20"/>
    </row>
    <row r="39" ht="20.05" customHeight="1">
      <c r="A39" s="17">
        <v>2</v>
      </c>
      <c r="B39" s="18">
        <v>3857</v>
      </c>
      <c r="C39" s="19" cm="1">
        <f t="array" ref="C39">ROUND(B39/B$89*100,2)</f>
        <v>0.06</v>
      </c>
      <c r="D39" s="20"/>
      <c r="E39" s="20"/>
    </row>
    <row r="40" ht="20.05" customHeight="1">
      <c r="A40" s="17">
        <v>98</v>
      </c>
      <c r="B40" s="18">
        <v>3305</v>
      </c>
      <c r="C40" s="19" cm="1">
        <f t="array" ref="C40">ROUND(B40/B$89*100,2)</f>
        <v>0.05</v>
      </c>
      <c r="D40" s="20"/>
      <c r="E40" s="20"/>
    </row>
    <row r="41" ht="20.05" customHeight="1">
      <c r="A41" s="17">
        <v>63</v>
      </c>
      <c r="B41" s="18">
        <v>2944</v>
      </c>
      <c r="C41" s="19" cm="1">
        <f t="array" ref="C41">ROUND(B41/B$89*100,2)</f>
        <v>0.05</v>
      </c>
      <c r="D41" s="20"/>
      <c r="E41" s="20"/>
    </row>
    <row r="42" ht="20.05" customHeight="1">
      <c r="A42" s="17">
        <v>16</v>
      </c>
      <c r="B42" s="18">
        <v>2559</v>
      </c>
      <c r="C42" s="19" cm="1">
        <f t="array" ref="C42">ROUND(B42/B$89*100,2)</f>
        <v>0.04</v>
      </c>
      <c r="D42" s="20"/>
      <c r="E42" s="20"/>
    </row>
    <row r="43" ht="20.05" customHeight="1">
      <c r="A43" s="17">
        <v>4</v>
      </c>
      <c r="B43" s="18">
        <v>1908</v>
      </c>
      <c r="C43" s="19" cm="1">
        <f t="array" ref="C43">ROUND(B43/B$89*100,2)</f>
        <v>0.03</v>
      </c>
      <c r="D43" s="20"/>
      <c r="E43" s="20"/>
    </row>
    <row r="44" ht="20.05" customHeight="1">
      <c r="A44" s="17">
        <v>78</v>
      </c>
      <c r="B44" s="18">
        <v>1888</v>
      </c>
      <c r="C44" s="19" cm="1">
        <f t="array" ref="C44">ROUND(B44/B$89*100,2)</f>
        <v>0.03</v>
      </c>
      <c r="D44" s="20"/>
      <c r="E44" s="20"/>
    </row>
    <row r="45" ht="20.05" customHeight="1">
      <c r="A45" s="17">
        <v>31</v>
      </c>
      <c r="B45" s="18">
        <v>1833</v>
      </c>
      <c r="C45" s="19" cm="1">
        <f t="array" ref="C45">ROUND(B45/B$89*100,2)</f>
        <v>0.03</v>
      </c>
      <c r="D45" s="20"/>
      <c r="E45" s="20"/>
    </row>
    <row r="46" ht="20.05" customHeight="1">
      <c r="A46" s="17">
        <v>17</v>
      </c>
      <c r="B46" s="18">
        <v>1750</v>
      </c>
      <c r="C46" s="19" cm="1">
        <f t="array" ref="C46">ROUND(B46/B$89*100,2)</f>
        <v>0.03</v>
      </c>
      <c r="D46" s="20"/>
      <c r="E46" s="20"/>
    </row>
    <row r="47" ht="20.05" customHeight="1">
      <c r="A47" s="17">
        <v>47</v>
      </c>
      <c r="B47" s="18">
        <v>1535</v>
      </c>
      <c r="C47" s="19" cm="1">
        <f t="array" ref="C47">ROUND(B47/B$89*100,2)</f>
        <v>0.02</v>
      </c>
      <c r="D47" s="20"/>
      <c r="E47" s="20"/>
    </row>
    <row r="48" ht="20.05" customHeight="1">
      <c r="A48" s="17">
        <v>9</v>
      </c>
      <c r="B48" s="18">
        <v>1325</v>
      </c>
      <c r="C48" s="19" cm="1">
        <f t="array" ref="C48">ROUND(B48/B$89*100,2)</f>
        <v>0.02</v>
      </c>
      <c r="D48" s="20"/>
      <c r="E48" s="20"/>
    </row>
    <row r="49" ht="20.05" customHeight="1">
      <c r="A49" s="17">
        <v>73</v>
      </c>
      <c r="B49" s="18">
        <v>961</v>
      </c>
      <c r="C49" s="19" cm="1">
        <f t="array" ref="C49">ROUND(B49/B$89*100,2)</f>
        <v>0.02</v>
      </c>
      <c r="D49" s="20"/>
      <c r="E49" s="20"/>
    </row>
    <row r="50" ht="20.05" customHeight="1">
      <c r="A50" s="17">
        <v>50</v>
      </c>
      <c r="B50" s="18">
        <v>708</v>
      </c>
      <c r="C50" s="19" cm="1">
        <f t="array" ref="C50">ROUND(B50/B$89*100,2)</f>
        <v>0.01</v>
      </c>
      <c r="D50" s="20"/>
      <c r="E50" s="20"/>
    </row>
    <row r="51" ht="20.05" customHeight="1">
      <c r="A51" s="17">
        <v>94</v>
      </c>
      <c r="B51" s="18">
        <v>684</v>
      </c>
      <c r="C51" s="19" cm="1">
        <f t="array" ref="C51">ROUND(B51/B$89*100,2)</f>
        <v>0.01</v>
      </c>
      <c r="D51" s="20"/>
      <c r="E51" s="20"/>
    </row>
    <row r="52" ht="20.05" customHeight="1">
      <c r="A52" s="17">
        <v>38</v>
      </c>
      <c r="B52" s="18">
        <v>579</v>
      </c>
      <c r="C52" s="19" cm="1">
        <f t="array" ref="C52">ROUND(B52/B$89*100,2)</f>
        <v>0.01</v>
      </c>
      <c r="D52" s="20"/>
      <c r="E52" s="20"/>
    </row>
    <row r="53" ht="20.05" customHeight="1">
      <c r="A53" s="17">
        <v>88</v>
      </c>
      <c r="B53" s="18">
        <v>550</v>
      </c>
      <c r="C53" s="19" cm="1">
        <f t="array" ref="C53">ROUND(B53/B$89*100,2)</f>
        <v>0.01</v>
      </c>
      <c r="D53" s="20"/>
      <c r="E53" s="20"/>
    </row>
    <row r="54" ht="20.05" customHeight="1">
      <c r="A54" s="17">
        <v>67</v>
      </c>
      <c r="B54" s="18">
        <v>524</v>
      </c>
      <c r="C54" s="19" cm="1">
        <f t="array" ref="C54">ROUND(B54/B$89*100,2)</f>
        <v>0.01</v>
      </c>
      <c r="D54" s="20"/>
      <c r="E54" s="20"/>
    </row>
    <row r="55" ht="20.05" customHeight="1">
      <c r="A55" s="17">
        <v>77</v>
      </c>
      <c r="B55" s="18">
        <v>504</v>
      </c>
      <c r="C55" s="19" cm="1">
        <f t="array" ref="C55">ROUND(B55/B$89*100,2)</f>
        <v>0.01</v>
      </c>
      <c r="D55" s="20"/>
      <c r="E55" s="20"/>
    </row>
    <row r="56" ht="20.05" customHeight="1">
      <c r="A56" s="17">
        <v>24</v>
      </c>
      <c r="B56" s="18">
        <v>351</v>
      </c>
      <c r="C56" s="19" cm="1">
        <f t="array" ref="C56">ROUND(B56/B$89*100,2)</f>
        <v>0.01</v>
      </c>
      <c r="D56" s="20"/>
      <c r="E56" s="20"/>
    </row>
    <row r="57" ht="20.05" customHeight="1">
      <c r="A57" s="17">
        <v>5</v>
      </c>
      <c r="B57" s="18">
        <v>289</v>
      </c>
      <c r="C57" s="19" cm="1">
        <f t="array" ref="C57">ROUND(B57/B$89*100,2)</f>
        <v>0</v>
      </c>
      <c r="D57" s="20"/>
      <c r="E57" s="20"/>
    </row>
    <row r="58" ht="20.05" customHeight="1">
      <c r="A58" s="17">
        <v>57</v>
      </c>
      <c r="B58" s="18">
        <v>241</v>
      </c>
      <c r="C58" s="19" cm="1">
        <f t="array" ref="C58">ROUND(B58/B$89*100,2)</f>
        <v>0</v>
      </c>
      <c r="D58" s="20"/>
      <c r="E58" s="20"/>
    </row>
    <row r="59" ht="20.05" customHeight="1">
      <c r="A59" s="17">
        <v>27</v>
      </c>
      <c r="B59" s="18">
        <v>200</v>
      </c>
      <c r="C59" s="19" cm="1">
        <f t="array" ref="C59">ROUND(B59/B$89*100,2)</f>
        <v>0</v>
      </c>
      <c r="D59" s="20"/>
      <c r="E59" s="20"/>
    </row>
    <row r="60" ht="20.05" customHeight="1">
      <c r="A60" s="17">
        <v>26</v>
      </c>
      <c r="B60" s="18">
        <v>196</v>
      </c>
      <c r="C60" s="19" cm="1">
        <f t="array" ref="C60">ROUND(B60/B$89*100,2)</f>
        <v>0</v>
      </c>
      <c r="D60" s="20"/>
      <c r="E60" s="20"/>
    </row>
    <row r="61" ht="20.05" customHeight="1">
      <c r="A61" s="17">
        <v>25</v>
      </c>
      <c r="B61" s="18">
        <v>188</v>
      </c>
      <c r="C61" s="19" cm="1">
        <f t="array" ref="C61">ROUND(B61/B$89*100,2)</f>
        <v>0</v>
      </c>
      <c r="D61" s="20"/>
      <c r="E61" s="20"/>
    </row>
    <row r="62" ht="20.05" customHeight="1">
      <c r="A62" s="17">
        <v>45</v>
      </c>
      <c r="B62" s="18">
        <v>156</v>
      </c>
      <c r="C62" s="19" cm="1">
        <f t="array" ref="C62">ROUND(B62/B$89*100,2)</f>
        <v>0</v>
      </c>
      <c r="D62" s="20"/>
      <c r="E62" s="20"/>
    </row>
    <row r="63" ht="20.05" customHeight="1">
      <c r="A63" s="17">
        <v>44</v>
      </c>
      <c r="B63" s="18">
        <v>118</v>
      </c>
      <c r="C63" s="19" cm="1">
        <f t="array" ref="C63">ROUND(B63/B$89*100,2)</f>
        <v>0</v>
      </c>
      <c r="D63" s="20"/>
      <c r="E63" s="20"/>
    </row>
    <row r="64" ht="20.05" customHeight="1">
      <c r="A64" s="17">
        <v>30</v>
      </c>
      <c r="B64" s="18">
        <v>110</v>
      </c>
      <c r="C64" s="19" cm="1">
        <f t="array" ref="C64">ROUND(B64/B$89*100,2)</f>
        <v>0</v>
      </c>
      <c r="D64" s="20"/>
      <c r="E64" s="20"/>
    </row>
    <row r="65" ht="20.05" customHeight="1">
      <c r="A65" s="17">
        <v>55</v>
      </c>
      <c r="B65" s="18">
        <v>79</v>
      </c>
      <c r="C65" s="19" cm="1">
        <f t="array" ref="C65">ROUND(B65/B$89*100,2)</f>
        <v>0</v>
      </c>
      <c r="D65" s="20"/>
      <c r="E65" s="20"/>
    </row>
    <row r="66" ht="20.05" customHeight="1">
      <c r="A66" s="17">
        <v>51</v>
      </c>
      <c r="B66" s="18">
        <v>43</v>
      </c>
      <c r="C66" s="19" cm="1">
        <f t="array" ref="C66">ROUND(B66/B$89*100,2)</f>
        <v>0</v>
      </c>
      <c r="D66" s="20"/>
      <c r="E66" s="20"/>
    </row>
    <row r="67" ht="20.05" customHeight="1">
      <c r="A67" s="17">
        <v>96</v>
      </c>
      <c r="B67" s="18">
        <v>33</v>
      </c>
      <c r="C67" s="19" cm="1">
        <f t="array" ref="C67">ROUND(B67/B$89*100,2)</f>
        <v>0</v>
      </c>
      <c r="D67" s="20"/>
      <c r="E67" s="20"/>
    </row>
    <row r="68" ht="20.05" customHeight="1">
      <c r="A68" s="17">
        <v>6</v>
      </c>
      <c r="B68" s="18">
        <v>32</v>
      </c>
      <c r="C68" s="19" cm="1">
        <f t="array" ref="C68">ROUND(B68/B$89*100,2)</f>
        <v>0</v>
      </c>
      <c r="D68" s="20"/>
      <c r="E68" s="20"/>
    </row>
    <row r="69" ht="20.05" customHeight="1">
      <c r="A69" s="17">
        <v>60</v>
      </c>
      <c r="B69" s="18">
        <v>26</v>
      </c>
      <c r="C69" s="19" cm="1">
        <f t="array" ref="C69">ROUND(B69/B$89*100,2)</f>
        <v>0</v>
      </c>
      <c r="D69" s="20"/>
      <c r="E69" s="20"/>
    </row>
    <row r="70" ht="20.05" customHeight="1">
      <c r="A70" s="17">
        <v>61</v>
      </c>
      <c r="B70" s="18">
        <v>22</v>
      </c>
      <c r="C70" s="19" cm="1">
        <f t="array" ref="C70">ROUND(B70/B$89*100,2)</f>
        <v>0</v>
      </c>
      <c r="D70" s="20"/>
      <c r="E70" s="20"/>
    </row>
    <row r="71" ht="20.05" customHeight="1">
      <c r="A71" s="17">
        <v>52</v>
      </c>
      <c r="B71" s="18">
        <v>21</v>
      </c>
      <c r="C71" s="19" cm="1">
        <f t="array" ref="C71">ROUND(B71/B$89*100,2)</f>
        <v>0</v>
      </c>
      <c r="D71" s="20"/>
      <c r="E71" s="20"/>
    </row>
    <row r="72" ht="20.05" customHeight="1">
      <c r="A72" s="17">
        <v>72</v>
      </c>
      <c r="B72" s="18">
        <v>19</v>
      </c>
      <c r="C72" s="19" cm="1">
        <f t="array" ref="C72">ROUND(B72/B$89*100,2)</f>
        <v>0</v>
      </c>
      <c r="D72" s="20"/>
      <c r="E72" s="20"/>
    </row>
    <row r="73" ht="20.05" customHeight="1">
      <c r="A73" s="17">
        <v>21</v>
      </c>
      <c r="B73" s="18">
        <v>18</v>
      </c>
      <c r="C73" s="19" cm="1">
        <f t="array" ref="C73">ROUND(B73/B$89*100,2)</f>
        <v>0</v>
      </c>
      <c r="D73" s="20"/>
      <c r="E73" s="20"/>
    </row>
    <row r="74" ht="20.05" customHeight="1">
      <c r="A74" s="17">
        <v>81</v>
      </c>
      <c r="B74" s="18">
        <v>17</v>
      </c>
      <c r="C74" s="19" cm="1">
        <f t="array" ref="C74">ROUND(B74/B$89*100,2)</f>
        <v>0</v>
      </c>
      <c r="D74" s="20"/>
      <c r="E74" s="20"/>
    </row>
    <row r="75" ht="20.05" customHeight="1">
      <c r="A75" s="17">
        <v>64</v>
      </c>
      <c r="B75" s="18">
        <v>15</v>
      </c>
      <c r="C75" s="19" cm="1">
        <f t="array" ref="C75">ROUND(B75/B$89*100,2)</f>
        <v>0</v>
      </c>
      <c r="D75" s="20"/>
      <c r="E75" s="20"/>
    </row>
    <row r="76" ht="20.05" customHeight="1">
      <c r="A76" s="17">
        <v>83</v>
      </c>
      <c r="B76" s="18">
        <v>8</v>
      </c>
      <c r="C76" s="19" cm="1">
        <f t="array" ref="C76">ROUND(B76/B$89*100,2)</f>
        <v>0</v>
      </c>
      <c r="D76" s="20"/>
      <c r="E76" s="20"/>
    </row>
    <row r="77" ht="20.05" customHeight="1">
      <c r="A77" s="17">
        <v>53</v>
      </c>
      <c r="B77" s="18">
        <v>7</v>
      </c>
      <c r="C77" s="19" cm="1">
        <f t="array" ref="C77">ROUND(B77/B$89*100,2)</f>
        <v>0</v>
      </c>
      <c r="D77" s="20"/>
      <c r="E77" s="20"/>
    </row>
    <row r="78" ht="20.05" customHeight="1">
      <c r="A78" s="17">
        <v>35</v>
      </c>
      <c r="B78" s="18">
        <v>6</v>
      </c>
      <c r="C78" s="19" cm="1">
        <f t="array" ref="C78">ROUND(B78/B$89*100,2)</f>
        <v>0</v>
      </c>
      <c r="D78" s="20"/>
      <c r="E78" s="20"/>
    </row>
    <row r="79" ht="20.05" customHeight="1">
      <c r="A79" s="17">
        <v>59</v>
      </c>
      <c r="B79" s="18">
        <v>5</v>
      </c>
      <c r="C79" s="19" cm="1">
        <f t="array" ref="C79">ROUND(B79/B$89*100,2)</f>
        <v>0</v>
      </c>
      <c r="D79" s="20"/>
      <c r="E79" s="20"/>
    </row>
    <row r="80" ht="20.05" customHeight="1">
      <c r="A80" s="17">
        <v>54</v>
      </c>
      <c r="B80" s="18">
        <v>5</v>
      </c>
      <c r="C80" s="19" cm="1">
        <f t="array" ref="C80">ROUND(B80/B$89*100,2)</f>
        <v>0</v>
      </c>
      <c r="D80" s="20"/>
      <c r="E80" s="20"/>
    </row>
    <row r="81" ht="20.05" customHeight="1">
      <c r="A81" s="17">
        <v>34</v>
      </c>
      <c r="B81" s="18">
        <v>5</v>
      </c>
      <c r="C81" s="19" cm="1">
        <f t="array" ref="C81">ROUND(B81/B$89*100,2)</f>
        <v>0</v>
      </c>
      <c r="D81" s="20"/>
      <c r="E81" s="20"/>
    </row>
    <row r="82" ht="20.05" customHeight="1">
      <c r="A82" s="17">
        <v>70</v>
      </c>
      <c r="B82" s="18">
        <v>4</v>
      </c>
      <c r="C82" s="19" cm="1">
        <f t="array" ref="C82">ROUND(B82/B$89*100,2)</f>
        <v>0</v>
      </c>
      <c r="D82" s="20"/>
      <c r="E82" s="20"/>
    </row>
    <row r="83" ht="20.05" customHeight="1">
      <c r="A83" s="17">
        <v>97</v>
      </c>
      <c r="B83" s="18">
        <v>3</v>
      </c>
      <c r="C83" s="19" cm="1">
        <f t="array" ref="C83">ROUND(B83/B$89*100,2)</f>
        <v>0</v>
      </c>
      <c r="D83" s="20"/>
      <c r="E83" s="20"/>
    </row>
    <row r="84" ht="20.05" customHeight="1">
      <c r="A84" s="17">
        <v>69</v>
      </c>
      <c r="B84" s="18">
        <v>3</v>
      </c>
      <c r="C84" s="19" cm="1">
        <f t="array" ref="C84">ROUND(B84/B$89*100,2)</f>
        <v>0</v>
      </c>
      <c r="D84" s="20"/>
      <c r="E84" s="20"/>
    </row>
    <row r="85" ht="20.05" customHeight="1">
      <c r="A85" s="17">
        <v>42</v>
      </c>
      <c r="B85" s="18">
        <v>2</v>
      </c>
      <c r="C85" s="19" cm="1">
        <f t="array" ref="C85">ROUND(B85/B$89*100,2)</f>
        <v>0</v>
      </c>
      <c r="D85" s="20"/>
      <c r="E85" s="20"/>
    </row>
    <row r="86" ht="20.05" customHeight="1">
      <c r="A86" s="17">
        <v>32</v>
      </c>
      <c r="B86" s="18">
        <v>2</v>
      </c>
      <c r="C86" s="19" cm="1">
        <f t="array" ref="C86">ROUND(B86/B$89*100,2)</f>
        <v>0</v>
      </c>
      <c r="D86" s="20"/>
      <c r="E86" s="20"/>
    </row>
    <row r="87" ht="20.05" customHeight="1">
      <c r="A87" s="17">
        <v>19</v>
      </c>
      <c r="B87" s="18">
        <v>1</v>
      </c>
      <c r="C87" s="19" cm="1">
        <f t="array" ref="C87">ROUND(B87/B$89*100,2)</f>
        <v>0</v>
      </c>
      <c r="D87" s="20"/>
      <c r="E87" s="20"/>
    </row>
    <row r="88" ht="20.05" customHeight="1">
      <c r="A88" s="17">
        <v>68</v>
      </c>
      <c r="B88" s="18">
        <v>1</v>
      </c>
      <c r="C88" s="19" cm="1">
        <f t="array" ref="C88">ROUND(B88/B$89*100,2)</f>
        <v>0</v>
      </c>
      <c r="D88" s="20"/>
      <c r="E88" s="20"/>
    </row>
    <row r="89" ht="20.05" customHeight="1">
      <c r="A89" t="s" s="21">
        <v>7</v>
      </c>
      <c r="B89" s="18" cm="1">
        <f t="array" ref="B89">SUM(B3:B88)</f>
        <v>6297994</v>
      </c>
      <c r="C89" s="19" cm="1">
        <f t="array" ref="C89">ROUND(B89/B$89*100,2)</f>
        <v>100</v>
      </c>
      <c r="D89" s="20"/>
      <c r="E89" s="20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2" customWidth="1"/>
    <col min="6" max="16384" width="16.3516" style="22" customWidth="1"/>
  </cols>
  <sheetData>
    <row r="1" ht="27.65" customHeight="1">
      <c r="A1" t="s" s="2">
        <v>6</v>
      </c>
      <c r="B1" s="2"/>
      <c r="C1" s="2"/>
      <c r="D1" s="2"/>
      <c r="E1" s="2"/>
    </row>
    <row r="2" ht="20.25" customHeight="1">
      <c r="A2" t="s" s="11">
        <v>1</v>
      </c>
      <c r="B2" t="s" s="11">
        <v>3</v>
      </c>
      <c r="C2" s="12"/>
      <c r="D2" s="12"/>
      <c r="E2" s="12"/>
    </row>
    <row r="3" ht="20.25" customHeight="1">
      <c r="A3" s="13">
        <v>71</v>
      </c>
      <c r="B3" s="14">
        <v>2445</v>
      </c>
      <c r="C3" s="15" cm="1">
        <f t="array" ref="C3">ROUND(B3/B$56*100,2)</f>
        <v>21.37</v>
      </c>
      <c r="D3" s="16"/>
      <c r="E3" s="16"/>
    </row>
    <row r="4" ht="20.05" customHeight="1">
      <c r="A4" s="17">
        <v>49</v>
      </c>
      <c r="B4" s="18">
        <v>1489</v>
      </c>
      <c r="C4" s="19" cm="1">
        <f t="array" ref="C4">ROUND(B4/B$56*100,2)</f>
        <v>13.01</v>
      </c>
      <c r="D4" s="20"/>
      <c r="E4" s="20"/>
    </row>
    <row r="5" ht="20.05" customHeight="1">
      <c r="A5" s="17">
        <v>74</v>
      </c>
      <c r="B5" s="18">
        <v>1164</v>
      </c>
      <c r="C5" s="19" cm="1">
        <f t="array" ref="C5">ROUND(B5/B$56*100,2)</f>
        <v>10.17</v>
      </c>
      <c r="D5" s="20"/>
      <c r="E5" s="20"/>
    </row>
    <row r="6" ht="20.05" customHeight="1">
      <c r="A6" s="17">
        <v>92</v>
      </c>
      <c r="B6" s="18">
        <v>941</v>
      </c>
      <c r="C6" s="19" cm="1">
        <f t="array" ref="C6">ROUND(B6/B$56*100,2)</f>
        <v>8.220000000000001</v>
      </c>
      <c r="D6" s="20"/>
      <c r="E6" s="20"/>
    </row>
    <row r="7" ht="20.05" customHeight="1">
      <c r="A7" s="17">
        <v>46</v>
      </c>
      <c r="B7" s="18">
        <v>753</v>
      </c>
      <c r="C7" s="19" cm="1">
        <f t="array" ref="C7">ROUND(B7/B$56*100,2)</f>
        <v>6.58</v>
      </c>
      <c r="D7" s="20"/>
      <c r="E7" s="20"/>
    </row>
    <row r="8" ht="20.05" customHeight="1">
      <c r="A8" s="17">
        <v>91</v>
      </c>
      <c r="B8" s="18">
        <v>674</v>
      </c>
      <c r="C8" s="19" cm="1">
        <f t="array" ref="C8">ROUND(B8/B$56*100,2)</f>
        <v>5.89</v>
      </c>
      <c r="D8" s="20"/>
      <c r="E8" s="20"/>
    </row>
    <row r="9" ht="20.05" customHeight="1">
      <c r="A9" s="17">
        <v>89</v>
      </c>
      <c r="B9" s="18">
        <v>560</v>
      </c>
      <c r="C9" s="19" cm="1">
        <f t="array" ref="C9">ROUND(B9/B$56*100,2)</f>
        <v>4.89</v>
      </c>
      <c r="D9" s="20"/>
      <c r="E9" s="20"/>
    </row>
    <row r="10" ht="20.05" customHeight="1">
      <c r="A10" s="17">
        <v>23</v>
      </c>
      <c r="B10" s="18">
        <v>478</v>
      </c>
      <c r="C10" s="19" cm="1">
        <f t="array" ref="C10">ROUND(B10/B$56*100,2)</f>
        <v>4.18</v>
      </c>
      <c r="D10" s="20"/>
      <c r="E10" s="20"/>
    </row>
    <row r="11" ht="20.05" customHeight="1">
      <c r="A11" s="17">
        <v>13</v>
      </c>
      <c r="B11" s="18">
        <v>424</v>
      </c>
      <c r="C11" s="19" cm="1">
        <f t="array" ref="C11">ROUND(B11/B$56*100,2)</f>
        <v>3.71</v>
      </c>
      <c r="D11" s="20"/>
      <c r="E11" s="20"/>
    </row>
    <row r="12" ht="20.05" customHeight="1">
      <c r="A12" s="17">
        <v>36</v>
      </c>
      <c r="B12" s="18">
        <v>311</v>
      </c>
      <c r="C12" s="19" cm="1">
        <f t="array" ref="C12">ROUND(B12/B$56*100,2)</f>
        <v>2.72</v>
      </c>
      <c r="D12" s="20"/>
      <c r="E12" s="20"/>
    </row>
    <row r="13" ht="20.05" customHeight="1">
      <c r="A13" s="17">
        <v>37</v>
      </c>
      <c r="B13" s="18">
        <v>287</v>
      </c>
      <c r="C13" s="19" cm="1">
        <f t="array" ref="C13">ROUND(B13/B$56*100,2)</f>
        <v>2.51</v>
      </c>
      <c r="D13" s="20"/>
      <c r="E13" s="20"/>
    </row>
    <row r="14" ht="20.05" customHeight="1">
      <c r="A14" s="17">
        <v>66</v>
      </c>
      <c r="B14" s="18">
        <v>286</v>
      </c>
      <c r="C14" s="19" cm="1">
        <f t="array" ref="C14">ROUND(B14/B$56*100,2)</f>
        <v>2.5</v>
      </c>
      <c r="D14" s="20"/>
      <c r="E14" s="20"/>
    </row>
    <row r="15" ht="20.05" customHeight="1">
      <c r="A15" s="17">
        <v>22</v>
      </c>
      <c r="B15" s="18">
        <v>218</v>
      </c>
      <c r="C15" s="19" cm="1">
        <f t="array" ref="C15">ROUND(B15/B$56*100,2)</f>
        <v>1.91</v>
      </c>
      <c r="D15" s="20"/>
      <c r="E15" s="20"/>
    </row>
    <row r="16" ht="20.05" customHeight="1">
      <c r="A16" s="17">
        <v>7</v>
      </c>
      <c r="B16" s="18">
        <v>184</v>
      </c>
      <c r="C16" s="19" cm="1">
        <f t="array" ref="C16">ROUND(B16/B$56*100,2)</f>
        <v>1.61</v>
      </c>
      <c r="D16" s="20"/>
      <c r="E16" s="20"/>
    </row>
    <row r="17" ht="20.05" customHeight="1">
      <c r="A17" s="17">
        <v>11</v>
      </c>
      <c r="B17" s="18">
        <v>165</v>
      </c>
      <c r="C17" s="19" cm="1">
        <f t="array" ref="C17">ROUND(B17/B$56*100,2)</f>
        <v>1.44</v>
      </c>
      <c r="D17" s="20"/>
      <c r="E17" s="20"/>
    </row>
    <row r="18" ht="20.05" customHeight="1">
      <c r="A18" s="17">
        <v>48</v>
      </c>
      <c r="B18" s="18">
        <v>138</v>
      </c>
      <c r="C18" s="19" cm="1">
        <f t="array" ref="C18">ROUND(B18/B$56*100,2)</f>
        <v>1.21</v>
      </c>
      <c r="D18" s="20"/>
      <c r="E18" s="20"/>
    </row>
    <row r="19" ht="20.05" customHeight="1">
      <c r="A19" s="17">
        <v>93</v>
      </c>
      <c r="B19" s="18">
        <v>138</v>
      </c>
      <c r="C19" s="19" cm="1">
        <f t="array" ref="C19">ROUND(B19/B$56*100,2)</f>
        <v>1.21</v>
      </c>
      <c r="D19" s="20"/>
      <c r="E19" s="20"/>
    </row>
    <row r="20" ht="20.05" customHeight="1">
      <c r="A20" s="17">
        <v>76</v>
      </c>
      <c r="B20" s="18">
        <v>122</v>
      </c>
      <c r="C20" s="19" cm="1">
        <f t="array" ref="C20">ROUND(B20/B$56*100,2)</f>
        <v>1.07</v>
      </c>
      <c r="D20" s="20"/>
      <c r="E20" s="20"/>
    </row>
    <row r="21" ht="20.05" customHeight="1">
      <c r="A21" s="17">
        <v>33</v>
      </c>
      <c r="B21" s="18">
        <v>105</v>
      </c>
      <c r="C21" s="19" cm="1">
        <f t="array" ref="C21">ROUND(B21/B$56*100,2)</f>
        <v>0.92</v>
      </c>
      <c r="D21" s="20"/>
      <c r="E21" s="20"/>
    </row>
    <row r="22" ht="20.05" customHeight="1">
      <c r="A22" s="17">
        <v>1</v>
      </c>
      <c r="B22" s="18">
        <v>91</v>
      </c>
      <c r="C22" s="19" cm="1">
        <f t="array" ref="C22">ROUND(B22/B$56*100,2)</f>
        <v>0.8</v>
      </c>
      <c r="D22" s="20"/>
      <c r="E22" s="20"/>
    </row>
    <row r="23" ht="20.05" customHeight="1">
      <c r="A23" s="17">
        <v>95</v>
      </c>
      <c r="B23" s="18">
        <v>81</v>
      </c>
      <c r="C23" s="19" cm="1">
        <f t="array" ref="C23">ROUND(B23/B$56*100,2)</f>
        <v>0.71</v>
      </c>
      <c r="D23" s="20"/>
      <c r="E23" s="20"/>
    </row>
    <row r="24" ht="20.05" customHeight="1">
      <c r="A24" s="17">
        <v>65</v>
      </c>
      <c r="B24" s="18">
        <v>36</v>
      </c>
      <c r="C24" s="19" cm="1">
        <f t="array" ref="C24">ROUND(B24/B$56*100,2)</f>
        <v>0.31</v>
      </c>
      <c r="D24" s="20"/>
      <c r="E24" s="20"/>
    </row>
    <row r="25" ht="20.05" customHeight="1">
      <c r="A25" s="17">
        <v>17</v>
      </c>
      <c r="B25" s="18">
        <v>34</v>
      </c>
      <c r="C25" s="19" cm="1">
        <f t="array" ref="C25">ROUND(B25/B$56*100,2)</f>
        <v>0.3</v>
      </c>
      <c r="D25" s="20"/>
      <c r="E25" s="20"/>
    </row>
    <row r="26" ht="20.05" customHeight="1">
      <c r="A26" s="17">
        <v>80</v>
      </c>
      <c r="B26" s="18">
        <v>32</v>
      </c>
      <c r="C26" s="19" cm="1">
        <f t="array" ref="C26">ROUND(B26/B$56*100,2)</f>
        <v>0.28</v>
      </c>
      <c r="D26" s="20"/>
      <c r="E26" s="20"/>
    </row>
    <row r="27" ht="20.05" customHeight="1">
      <c r="A27" s="17">
        <v>87</v>
      </c>
      <c r="B27" s="18">
        <v>32</v>
      </c>
      <c r="C27" s="19" cm="1">
        <f t="array" ref="C27">ROUND(B27/B$56*100,2)</f>
        <v>0.28</v>
      </c>
      <c r="D27" s="20"/>
      <c r="E27" s="20"/>
    </row>
    <row r="28" ht="20.05" customHeight="1">
      <c r="A28" s="17">
        <v>18</v>
      </c>
      <c r="B28" s="18">
        <v>27</v>
      </c>
      <c r="C28" s="19" cm="1">
        <f t="array" ref="C28">ROUND(B28/B$56*100,2)</f>
        <v>0.24</v>
      </c>
      <c r="D28" s="20"/>
      <c r="E28" s="20"/>
    </row>
    <row r="29" ht="20.05" customHeight="1">
      <c r="A29" s="17">
        <v>39</v>
      </c>
      <c r="B29" s="18">
        <v>25</v>
      </c>
      <c r="C29" s="19" cm="1">
        <f t="array" ref="C29">ROUND(B29/B$56*100,2)</f>
        <v>0.22</v>
      </c>
      <c r="D29" s="20"/>
      <c r="E29" s="20"/>
    </row>
    <row r="30" ht="20.05" customHeight="1">
      <c r="A30" s="17">
        <v>8</v>
      </c>
      <c r="B30" s="18">
        <v>21</v>
      </c>
      <c r="C30" s="19" cm="1">
        <f t="array" ref="C30">ROUND(B30/B$56*100,2)</f>
        <v>0.18</v>
      </c>
      <c r="D30" s="20"/>
      <c r="E30" s="20"/>
    </row>
    <row r="31" ht="20.05" customHeight="1">
      <c r="A31" s="17">
        <v>98</v>
      </c>
      <c r="B31" s="18">
        <v>16</v>
      </c>
      <c r="C31" s="19" cm="1">
        <f t="array" ref="C31">ROUND(B31/B$56*100,2)</f>
        <v>0.14</v>
      </c>
      <c r="D31" s="20"/>
      <c r="E31" s="20"/>
    </row>
    <row r="32" ht="20.05" customHeight="1">
      <c r="A32" s="17">
        <v>86</v>
      </c>
      <c r="B32" s="18">
        <v>14</v>
      </c>
      <c r="C32" s="19" cm="1">
        <f t="array" ref="C32">ROUND(B32/B$56*100,2)</f>
        <v>0.12</v>
      </c>
      <c r="D32" s="20"/>
      <c r="E32" s="20"/>
    </row>
    <row r="33" ht="20.05" customHeight="1">
      <c r="A33" s="17">
        <v>78</v>
      </c>
      <c r="B33" s="18">
        <v>14</v>
      </c>
      <c r="C33" s="19" cm="1">
        <f t="array" ref="C33">ROUND(B33/B$56*100,2)</f>
        <v>0.12</v>
      </c>
      <c r="D33" s="20"/>
      <c r="E33" s="20"/>
    </row>
    <row r="34" ht="20.05" customHeight="1">
      <c r="A34" s="17">
        <v>77</v>
      </c>
      <c r="B34" s="18">
        <v>11</v>
      </c>
      <c r="C34" s="19" cm="1">
        <f t="array" ref="C34">ROUND(B34/B$56*100,2)</f>
        <v>0.1</v>
      </c>
      <c r="D34" s="20"/>
      <c r="E34" s="20"/>
    </row>
    <row r="35" ht="20.05" customHeight="1">
      <c r="A35" s="17">
        <v>57</v>
      </c>
      <c r="B35" s="18">
        <v>11</v>
      </c>
      <c r="C35" s="19" cm="1">
        <f t="array" ref="C35">ROUND(B35/B$56*100,2)</f>
        <v>0.1</v>
      </c>
      <c r="D35" s="20"/>
      <c r="E35" s="20"/>
    </row>
    <row r="36" ht="20.05" customHeight="1">
      <c r="A36" s="17">
        <v>90</v>
      </c>
      <c r="B36" s="18">
        <v>10</v>
      </c>
      <c r="C36" s="19" cm="1">
        <f t="array" ref="C36">ROUND(B36/B$56*100,2)</f>
        <v>0.09</v>
      </c>
      <c r="D36" s="20"/>
      <c r="E36" s="20"/>
    </row>
    <row r="37" ht="20.05" customHeight="1">
      <c r="A37" s="17">
        <v>31</v>
      </c>
      <c r="B37" s="18">
        <v>10</v>
      </c>
      <c r="C37" s="19" cm="1">
        <f t="array" ref="C37">ROUND(B37/B$56*100,2)</f>
        <v>0.09</v>
      </c>
      <c r="D37" s="20"/>
      <c r="E37" s="20"/>
    </row>
    <row r="38" ht="20.05" customHeight="1">
      <c r="A38" s="17">
        <v>2</v>
      </c>
      <c r="B38" s="18">
        <v>9</v>
      </c>
      <c r="C38" s="19" cm="1">
        <f t="array" ref="C38">ROUND(B38/B$56*100,2)</f>
        <v>0.08</v>
      </c>
      <c r="D38" s="20"/>
      <c r="E38" s="20"/>
    </row>
    <row r="39" ht="20.05" customHeight="1">
      <c r="A39" s="17">
        <v>20</v>
      </c>
      <c r="B39" s="18">
        <v>9</v>
      </c>
      <c r="C39" s="19" cm="1">
        <f t="array" ref="C39">ROUND(B39/B$56*100,2)</f>
        <v>0.08</v>
      </c>
      <c r="D39" s="20"/>
      <c r="E39" s="20"/>
    </row>
    <row r="40" ht="20.05" customHeight="1">
      <c r="A40" s="17">
        <v>79</v>
      </c>
      <c r="B40" s="18">
        <v>8</v>
      </c>
      <c r="C40" s="19" cm="1">
        <f t="array" ref="C40">ROUND(B40/B$56*100,2)</f>
        <v>0.07000000000000001</v>
      </c>
      <c r="D40" s="20"/>
      <c r="E40" s="20"/>
    </row>
    <row r="41" ht="20.05" customHeight="1">
      <c r="A41" s="17">
        <v>10</v>
      </c>
      <c r="B41" s="18">
        <v>8</v>
      </c>
      <c r="C41" s="19" cm="1">
        <f t="array" ref="C41">ROUND(B41/B$56*100,2)</f>
        <v>0.07000000000000001</v>
      </c>
      <c r="D41" s="20"/>
      <c r="E41" s="20"/>
    </row>
    <row r="42" ht="20.05" customHeight="1">
      <c r="A42" s="17">
        <v>16</v>
      </c>
      <c r="B42" s="18">
        <v>7</v>
      </c>
      <c r="C42" s="19" cm="1">
        <f t="array" ref="C42">ROUND(B42/B$56*100,2)</f>
        <v>0.06</v>
      </c>
      <c r="D42" s="20"/>
      <c r="E42" s="20"/>
    </row>
    <row r="43" ht="20.05" customHeight="1">
      <c r="A43" s="17">
        <v>43</v>
      </c>
      <c r="B43" s="18">
        <v>7</v>
      </c>
      <c r="C43" s="19" cm="1">
        <f t="array" ref="C43">ROUND(B43/B$56*100,2)</f>
        <v>0.06</v>
      </c>
      <c r="D43" s="20"/>
      <c r="E43" s="20"/>
    </row>
    <row r="44" ht="20.05" customHeight="1">
      <c r="A44" s="17">
        <v>3</v>
      </c>
      <c r="B44" s="18">
        <v>6</v>
      </c>
      <c r="C44" s="19" cm="1">
        <f t="array" ref="C44">ROUND(B44/B$56*100,2)</f>
        <v>0.05</v>
      </c>
      <c r="D44" s="20"/>
      <c r="E44" s="20"/>
    </row>
    <row r="45" ht="20.05" customHeight="1">
      <c r="A45" s="17">
        <v>85</v>
      </c>
      <c r="B45" s="18">
        <v>6</v>
      </c>
      <c r="C45" s="19" cm="1">
        <f t="array" ref="C45">ROUND(B45/B$56*100,2)</f>
        <v>0.05</v>
      </c>
      <c r="D45" s="20"/>
      <c r="E45" s="20"/>
    </row>
    <row r="46" ht="20.05" customHeight="1">
      <c r="A46" s="17">
        <v>67</v>
      </c>
      <c r="B46" s="18">
        <v>6</v>
      </c>
      <c r="C46" s="19" cm="1">
        <f t="array" ref="C46">ROUND(B46/B$56*100,2)</f>
        <v>0.05</v>
      </c>
      <c r="D46" s="20"/>
      <c r="E46" s="20"/>
    </row>
    <row r="47" ht="20.05" customHeight="1">
      <c r="A47" s="17">
        <v>63</v>
      </c>
      <c r="B47" s="18">
        <v>6</v>
      </c>
      <c r="C47" s="19" cm="1">
        <f t="array" ref="C47">ROUND(B47/B$56*100,2)</f>
        <v>0.05</v>
      </c>
      <c r="D47" s="20"/>
      <c r="E47" s="20"/>
    </row>
    <row r="48" ht="20.05" customHeight="1">
      <c r="A48" s="17">
        <v>88</v>
      </c>
      <c r="B48" s="18">
        <v>5</v>
      </c>
      <c r="C48" s="19" cm="1">
        <f t="array" ref="C48">ROUND(B48/B$56*100,2)</f>
        <v>0.04</v>
      </c>
      <c r="D48" s="20"/>
      <c r="E48" s="20"/>
    </row>
    <row r="49" ht="20.05" customHeight="1">
      <c r="A49" s="17">
        <v>38</v>
      </c>
      <c r="B49" s="18">
        <v>5</v>
      </c>
      <c r="C49" s="19" cm="1">
        <f t="array" ref="C49">ROUND(B49/B$56*100,2)</f>
        <v>0.04</v>
      </c>
      <c r="D49" s="20"/>
      <c r="E49" s="20"/>
    </row>
    <row r="50" ht="20.05" customHeight="1">
      <c r="A50" s="17">
        <v>4</v>
      </c>
      <c r="B50" s="18">
        <v>5</v>
      </c>
      <c r="C50" s="19" cm="1">
        <f t="array" ref="C50">ROUND(B50/B$56*100,2)</f>
        <v>0.04</v>
      </c>
      <c r="D50" s="20"/>
      <c r="E50" s="20"/>
    </row>
    <row r="51" ht="20.05" customHeight="1">
      <c r="A51" s="17">
        <v>40</v>
      </c>
      <c r="B51" s="18">
        <v>4</v>
      </c>
      <c r="C51" s="19" cm="1">
        <f t="array" ref="C51">ROUND(B51/B$56*100,2)</f>
        <v>0.03</v>
      </c>
      <c r="D51" s="20"/>
      <c r="E51" s="20"/>
    </row>
    <row r="52" ht="20.05" customHeight="1">
      <c r="A52" s="17">
        <v>24</v>
      </c>
      <c r="B52" s="18">
        <v>2</v>
      </c>
      <c r="C52" s="19" cm="1">
        <f t="array" ref="C52">ROUND(B52/B$56*100,2)</f>
        <v>0.02</v>
      </c>
      <c r="D52" s="20"/>
      <c r="E52" s="20"/>
    </row>
    <row r="53" ht="20.05" customHeight="1">
      <c r="A53" s="17">
        <v>50</v>
      </c>
      <c r="B53" s="18">
        <v>1</v>
      </c>
      <c r="C53" s="19" cm="1">
        <f t="array" ref="C53">ROUND(B53/B$56*100,2)</f>
        <v>0.01</v>
      </c>
      <c r="D53" s="20"/>
      <c r="E53" s="20"/>
    </row>
    <row r="54" ht="20.05" customHeight="1">
      <c r="A54" s="17">
        <v>61</v>
      </c>
      <c r="B54" s="18">
        <v>1</v>
      </c>
      <c r="C54" s="19" cm="1">
        <f t="array" ref="C54">ROUND(B54/B$56*100,2)</f>
        <v>0.01</v>
      </c>
      <c r="D54" s="20"/>
      <c r="E54" s="20"/>
    </row>
    <row r="55" ht="20.05" customHeight="1">
      <c r="A55" s="17">
        <v>60</v>
      </c>
      <c r="B55" s="18">
        <v>1</v>
      </c>
      <c r="C55" s="19" cm="1">
        <f t="array" ref="C55">ROUND(B55/B$56*100,2)</f>
        <v>0.01</v>
      </c>
      <c r="D55" s="20"/>
      <c r="E55" s="20"/>
    </row>
    <row r="56" ht="20.05" customHeight="1">
      <c r="A56" t="s" s="21">
        <v>7</v>
      </c>
      <c r="B56" s="18" cm="1">
        <f t="array" ref="B56">SUM(,B3:B55)</f>
        <v>11443</v>
      </c>
      <c r="C56" s="19" cm="1">
        <f t="array" ref="C56">ROUND(B56/B$56*100,2)</f>
        <v>100</v>
      </c>
      <c r="D56" s="20"/>
      <c r="E56" s="20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